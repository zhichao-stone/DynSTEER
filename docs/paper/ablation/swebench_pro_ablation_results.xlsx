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mpCode\Research\DynSTEER\docs\paper\ablation\"/>
    </mc:Choice>
  </mc:AlternateContent>
  <bookViews>
    <workbookView windowWidth="24750" windowHeight="12080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<sst xmlns="http://schemas.openxmlformats.org/spreadsheetml/2006/main" count="35" uniqueCount="35">
  <si>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SWE-bench Pro 消融实验结果</t>
  </si>
  <si>
    <t>数据源：results/exp/swebench_pro_ablation/index.json；样本：6 methods × 4 models × 3 repeats × 14 cases = 1008 records。</t>
  </si>
  <si>
    <t>主要结果</t>
  </si>
  <si>
    <t>消融组</t>
  </si>
  <si>
    <t>方法</t>
  </si>
  <si>
    <t>平均分</t>
  </si>
  <si>
    <t>模型间标准差</t>
  </si>
  <si>
    <t>DS (ε=1.00)</t>
  </si>
  <si>
    <t>显著模型对数</t>
  </si>
  <si>
    <t>Policy Stop数</t>
  </si>
  <si>
    <t>Stop Rate</t>
  </si>
  <si>
    <t>Default总步骤</t>
  </si>
  <si>
    <t>节省步骤数</t>
  </si>
  <si>
    <t>节省总步骤比例</t>
  </si>
  <si>
    <t>配对案例数</t>
  </si>
  <si>
    <t>Default</t>
  </si>
  <si>
    <t>default</t>
  </si>
  <si>
    <t>DynSTEER</t>
  </si>
  <si>
    <t>dynsteer_replay</t>
  </si>
  <si>
    <t>No dynamic routing</t>
  </si>
  <si>
    <t>dynsteer_replay_static_routing</t>
  </si>
  <si>
    <t>No dynamic weighting</t>
  </si>
  <si>
    <t>dynsteer_replay_static_weighting</t>
  </si>
  <si>
    <t>Stage-only</t>
  </si>
  <si>
    <t>dynsteer_replay_static</t>
  </si>
  <si>
    <t>No policy stop</t>
  </si>
  <si>
    <t>dynsteer_replay_no_policy_stop</t>
  </si>
  <si>
    <t>统计口径</t>
  </si>
  <si>
    <t>平均分：先按模型汇总全部有效 case（最多 3 repeats × 14 cases，缺失 score 不计入分母），再对 4 个模型均分取算术平均；分数已从 [0,1] 放大到 [0,100]。</t>
  </si>
  <si>
    <t>模型间标准差：4 个模型均分的总体标准差。平均重复标准差：每个模型 3 个 repeat 均分的总体标准差，再对 4 个模型取平均。</t>
  </si>
  <si>
    <t>DS (ε=1.00)：使用 [0,100] 模型均分计算 (population σ / μ) × sqrt(显著模型对数 / 6)；显著模型对的均分差必须大于 1.00。</t>
  </si>
  <si>
    <t>Stop Rate：有效 policy stop 数 / 168 个配对案例；排除 infrastructure failure 与 evaluation failure。</t>
  </si>
  <si>
    <t>节省总步骤比例：Σ(max(Default steps - replay steps, 0)) 只计入 policy-stopped cases / Σ(Default steps)；未停止案例按 0 节省计入分母。</t>
  </si>
  <si>
    <t>本批 6 个配置均没有有效 policy stop，因此 Stop Rate 和节省总步骤比例均为 0.00%。</t>
  </si>
  <si>
    <t>表格形式对齐 docs/paper/iclr2027/tables/tab_ablation_results.tex 与 docs/paper/ablation/toolsandbox_ablation_results.xlsx。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</si>
</sst>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7">
    <font>
      <sz val="11"/>
      <name val="Carlito"/>
      <charset val="134"/>
    </font>
    <font>
      <b/>
      <sz val="14"/>
      <color rgb="FF111827"/>
      <name val="Arial"/>
      <charset val="134"/>
    </font>
    <font>
      <sz val="10"/>
      <color rgb="FF111827"/>
      <name val="Arial"/>
      <charset val="134"/>
    </font>
    <font>
      <b/>
      <sz val="11"/>
      <color rgb="FF1F4E78"/>
      <name val="Arial"/>
      <charset val="134"/>
    </font>
    <font>
      <b/>
      <sz val="10"/>
      <color rgb="FF111827"/>
      <name val="Arial"/>
      <charset val="134"/>
    </font>
    <font>
      <sz val="11"/>
      <color theme="1"/>
      <name val="Calibri"/>
      <charset val="134"/>
      <scheme val="minor"/>
    </font>
    <font>
      <b/>
      <sz val="10"/>
      <color rgb="FF1F4E78"/>
      <name val="Arial"/>
      <charset val="134"/>
    </font>
    <font>
      <i/>
      <sz val="9"/>
      <color rgb="FF4B556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2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/>
    <xf numFmtId="0" fontId="4" fillId="2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vertical="center"/>
    </xf>
    <xf numFmtId="0" fontId="5" fillId="0" borderId="0" xfId="0">
      <alignment vertical="center"/>
    </xf>
    <xf numFmtId="176" fontId="2" fillId="0" borderId="1" xfId="49" applyNumberFormat="1" applyFont="1" applyFill="1" applyBorder="1" applyAlignment="1">
      <alignment horizontal="right" vertical="center"/>
    </xf>
    <xf numFmtId="1" fontId="2" fillId="0" borderId="1" xfId="49" applyNumberFormat="1" applyFont="1" applyFill="1" applyBorder="1" applyAlignment="1">
      <alignment horizontal="right" vertical="center"/>
    </xf>
    <xf numFmtId="10" fontId="2" fillId="0" borderId="1" xfId="49" applyNumberFormat="1" applyFont="1" applyFill="1" applyBorder="1" applyAlignment="1">
      <alignment horizontal="right" vertical="center"/>
    </xf>
    <xf numFmtId="3" fontId="2" fillId="0" borderId="1" xfId="49" applyNumberFormat="1" applyFont="1" applyFill="1" applyBorder="1" applyAlignment="1">
      <alignment horizontal="right" vertical="center"/>
    </xf>
    <xf numFmtId="0" fontId="6" fillId="0" borderId="0" xfId="49" applyNumberFormat="1" applyFont="1" applyFill="1" applyBorder="1"/>
    <xf numFmtId="0" fontId="7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blationSummary" displayName="AblationSummary" ref="A5:L11" totalsRowShown="0">
  <tableColumns count="12">
    <tableColumn id="1" name="消融组"/>
    <tableColumn id="2" name="方法"/>
    <tableColumn id="3" name="平均分"/>
    <tableColumn id="4" name="模型间标准差"/>
    <tableColumn id="6" name="DS (ε=1.00)"/>
    <tableColumn id="7" name="显著模型对数"/>
    <tableColumn id="8" name="Policy Stop数"/>
    <tableColumn id="9" name="Stop Rate"/>
    <tableColumn id="10" name="Default总步骤"/>
    <tableColumn id="11" name="节省步骤数"/>
    <tableColumn id="12" name="节省总步骤比例"/>
    <tableColumn id="13" name="配对案例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20"/>
  <sheetViews>
    <sheetView showGridLines="0" tabSelected="1" workbookViewId="0">
      <pane ySplit="6" topLeftCell="A7" activePane="bottomLeft" state="frozen"/>
      <selection/>
      <selection pane="bottomLeft" activeCell="K18" sqref="K18"/>
    </sheetView>
  </sheetViews>
  <sheetFormatPr defaultColWidth="9" defaultRowHeight="14"/>
  <cols>
    <col min="1" max="1" width="20" customWidth="1"/>
    <col min="2" max="2" width="35" customWidth="1"/>
    <col min="3" max="5" width="18" customWidth="1"/>
    <col min="6" max="12" width="15" customWidth="1"/>
  </cols>
  <sheetData>
    <row r="1" ht="22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8" customHeight="1" spans="1:1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2" customHeight="1" spans="1:12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34" customHeight="1" spans="1:1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ht="22" customHeight="1" spans="1:12">
      <c r="A6" s="6" t="s">
        <v>15</v>
      </c>
      <c r="B6" s="6" t="s">
        <v>16</v>
      </c>
      <c r="C6" s="7">
        <v>70.1479</v>
      </c>
      <c r="D6" s="7">
        <v>3.7802</v>
      </c>
      <c r="E6" s="8">
        <f t="shared" ref="E6:E11" si="0">IF(C6=0,0,(D6/C6)*SQRT(F6/6))</f>
        <v>0.0538889973898007</v>
      </c>
      <c r="F6" s="9">
        <v>6</v>
      </c>
      <c r="G6" s="9">
        <v>0</v>
      </c>
      <c r="H6" s="10">
        <f t="shared" ref="H6:H11" si="1">G6/L6</f>
        <v>0</v>
      </c>
      <c r="I6" s="11">
        <v>5043</v>
      </c>
      <c r="J6" s="11">
        <v>0</v>
      </c>
      <c r="K6" s="10">
        <f t="shared" ref="K6:K11" si="2">J6/I6</f>
        <v>0</v>
      </c>
      <c r="L6" s="9">
        <v>168</v>
      </c>
    </row>
    <row r="7" ht="22" customHeight="1" spans="1:12">
      <c r="A7" s="6" t="s">
        <v>17</v>
      </c>
      <c r="B7" s="6" t="s">
        <v>18</v>
      </c>
      <c r="C7" s="7">
        <v>75.1266</v>
      </c>
      <c r="D7" s="7">
        <v>5.934</v>
      </c>
      <c r="E7" s="8">
        <f t="shared" si="0"/>
        <v>0.0789866705001957</v>
      </c>
      <c r="F7" s="9">
        <v>6</v>
      </c>
      <c r="G7" s="9">
        <v>11</v>
      </c>
      <c r="H7" s="10">
        <f t="shared" si="1"/>
        <v>0.0654761904761905</v>
      </c>
      <c r="I7" s="11">
        <v>5043</v>
      </c>
      <c r="J7" s="11">
        <v>278</v>
      </c>
      <c r="K7" s="10">
        <f t="shared" si="2"/>
        <v>0.0551259171128297</v>
      </c>
      <c r="L7" s="9">
        <v>168</v>
      </c>
    </row>
    <row r="8" ht="22" customHeight="1" spans="1:12">
      <c r="A8" s="6" t="s">
        <v>19</v>
      </c>
      <c r="B8" s="6" t="s">
        <v>20</v>
      </c>
      <c r="C8" s="7">
        <v>73.4493</v>
      </c>
      <c r="D8" s="7">
        <v>5.4401</v>
      </c>
      <c r="E8" s="8">
        <f t="shared" si="0"/>
        <v>0.0740660564498232</v>
      </c>
      <c r="F8" s="9">
        <v>6</v>
      </c>
      <c r="G8" s="9">
        <v>10</v>
      </c>
      <c r="H8" s="10">
        <f t="shared" si="1"/>
        <v>0.0595238095238095</v>
      </c>
      <c r="I8" s="11">
        <v>5043</v>
      </c>
      <c r="J8" s="11">
        <v>269</v>
      </c>
      <c r="K8" s="10">
        <f t="shared" si="2"/>
        <v>0.0533412651199683</v>
      </c>
      <c r="L8" s="9">
        <v>168</v>
      </c>
    </row>
    <row r="9" ht="22" customHeight="1" spans="1:12">
      <c r="A9" s="6" t="s">
        <v>21</v>
      </c>
      <c r="B9" s="6" t="s">
        <v>22</v>
      </c>
      <c r="C9" s="7">
        <v>73.5743</v>
      </c>
      <c r="D9" s="7">
        <v>5.4213</v>
      </c>
      <c r="E9" s="8">
        <f t="shared" si="0"/>
        <v>0.0736846969661961</v>
      </c>
      <c r="F9" s="9">
        <v>6</v>
      </c>
      <c r="G9" s="9">
        <v>11</v>
      </c>
      <c r="H9" s="10">
        <f t="shared" si="1"/>
        <v>0.0654761904761905</v>
      </c>
      <c r="I9" s="11">
        <v>5043</v>
      </c>
      <c r="J9" s="11">
        <v>275</v>
      </c>
      <c r="K9" s="10">
        <f t="shared" si="2"/>
        <v>0.0545310331152092</v>
      </c>
      <c r="L9" s="9">
        <v>168</v>
      </c>
    </row>
    <row r="10" ht="22" customHeight="1" spans="1:12">
      <c r="A10" s="6" t="s">
        <v>23</v>
      </c>
      <c r="B10" s="6" t="s">
        <v>24</v>
      </c>
      <c r="C10" s="7">
        <v>73.5281</v>
      </c>
      <c r="D10" s="7">
        <v>5.3641</v>
      </c>
      <c r="E10" s="8">
        <f t="shared" si="0"/>
        <v>0.0729530614826168</v>
      </c>
      <c r="F10" s="9">
        <v>6</v>
      </c>
      <c r="G10" s="9">
        <v>9</v>
      </c>
      <c r="H10" s="10">
        <f t="shared" si="1"/>
        <v>0.0535714285714286</v>
      </c>
      <c r="I10" s="11">
        <v>5043</v>
      </c>
      <c r="J10" s="11">
        <v>269</v>
      </c>
      <c r="K10" s="10">
        <f t="shared" si="2"/>
        <v>0.0533412651199683</v>
      </c>
      <c r="L10" s="9">
        <v>168</v>
      </c>
    </row>
    <row r="11" ht="22" customHeight="1" spans="1:12">
      <c r="A11" s="6" t="s">
        <v>25</v>
      </c>
      <c r="B11" s="6" t="s">
        <v>26</v>
      </c>
      <c r="C11" s="7">
        <v>73.0552</v>
      </c>
      <c r="D11" s="7">
        <v>5.1957</v>
      </c>
      <c r="E11" s="8">
        <f t="shared" si="0"/>
        <v>0.0711201940450509</v>
      </c>
      <c r="F11" s="9">
        <v>6</v>
      </c>
      <c r="G11" s="9">
        <v>0</v>
      </c>
      <c r="H11" s="10">
        <f t="shared" si="1"/>
        <v>0</v>
      </c>
      <c r="I11" s="11">
        <v>5043</v>
      </c>
      <c r="J11" s="11">
        <v>0</v>
      </c>
      <c r="K11" s="10">
        <f t="shared" si="2"/>
        <v>0</v>
      </c>
      <c r="L11" s="9">
        <v>168</v>
      </c>
    </row>
    <row r="12" ht="22" customHeight="1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22" customHeight="1" spans="1:12">
      <c r="A13" s="12" t="s">
        <v>27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22" customHeight="1" spans="1:12">
      <c r="A14" s="13" t="s">
        <v>28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22" customHeight="1" spans="1:12">
      <c r="A15" s="13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22" customHeight="1" spans="1:12">
      <c r="A16" s="13" t="s">
        <v>30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2" customHeight="1" spans="1:12">
      <c r="A17" s="13" t="s">
        <v>31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22" customHeight="1" spans="1:12">
      <c r="A18" s="13" t="s">
        <v>32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2" customHeight="1" spans="1:12">
      <c r="A19" s="13" t="s">
        <v>33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22" customHeight="1" spans="1:12">
      <c r="A20" s="13" t="s">
        <v>34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 count="3">
    <mergeCell ref="A1:L1"/>
    <mergeCell ref="A2:L2"/>
    <mergeCell ref="A4:L4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Ablation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某石</cp:lastModifiedBy>
  <dcterms:created xsi:type="dcterms:W3CDTF">2026-09-25T15:35:33Z</dcterms:created>
  <dcterms:modified xsi:type="dcterms:W3CDTF">2026-09-25T16:41:34Z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E7970F1A125E44B699C97F90B84003C4_12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