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fe571079d4b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vention Results" sheetId="1" r:id="R219dd369d5914748"/>
    <x:sheet xmlns:r="http://schemas.openxmlformats.org/officeDocument/2006/relationships" name="ModelAudit" sheetId="2" r:id="R70d8490a3514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@"/>
    <x:numFmt numFmtId="202" formatCode="#,##0"/>
    <x:numFmt numFmtId="203" formatCode="0.0%"/>
    <x:numFmt numFmtId="204" formatCode="#,##0.000000"/>
    <x:numFmt numFmtId="205" formatCode="0.00%"/>
  </x:numFmts>
  <x:fonts count="6">
    <x:font>
      <x:sz val="11"/>
      <x:name val="Carlito"/>
    </x:font>
    <x:font>
      <x:b/>
      <x:sz val="16"/>
      <x:color rgb="FF17365D"/>
      <x:name val="Arial"/>
    </x:font>
    <x:font>
      <x:i/>
      <x:sz val="9"/>
      <x:color rgb="FF4A4A4A"/>
      <x:name val="Arial"/>
    </x:font>
    <x:font>
      <x:b/>
      <x:sz val="12"/>
      <x:color rgb="FF17365D"/>
      <x:name val="Arial"/>
    </x:font>
    <x:font>
      <x:b/>
      <x:sz val="10"/>
      <x:color rgb="FFFFFFFF"/>
      <x:name val="Arial"/>
    </x:font>
    <x:font>
      <x:sz val="10"/>
      <x:color rgb="FF242424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1719C"/>
      </x:patternFill>
    </x:fill>
    <x:fill>
      <x:patternFill patternType="solid">
        <x:fgColor rgb="FF41719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1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17365D"/>
      </x:left>
      <x:right style="thin">
        <x:color rgb="FFD9E2F3"/>
      </x:right>
      <x:top style="thin">
        <x:color rgb="FF17365D"/>
      </x:top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top style="thin">
        <x:color rgb="FF17365D"/>
      </x:top>
      <x:bottom style="thin">
        <x:color rgb="FF17365D"/>
      </x:bottom>
    </x:border>
    <x:border>
      <x:left style="thin">
        <x:color rgb="FFD9E2F3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8EAADB"/>
      </x:left>
      <x:right style="thin">
        <x:color rgb="FFD9E2F3"/>
      </x:right>
      <x:top style="thin">
        <x:color rgb="FF8EAADB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8EAADB"/>
      </x:top>
      <x:bottom style="thin">
        <x:color rgb="FFD9E2F3"/>
      </x:bottom>
    </x:border>
    <x:border>
      <x:left style="thin">
        <x:color rgb="FFD9E2F3"/>
      </x:left>
      <x:right style="thin">
        <x:color rgb="FF8EAADB"/>
      </x:right>
      <x:top style="thin">
        <x:color rgb="FF8EAADB"/>
      </x:top>
      <x:bottom style="thin">
        <x:color rgb="FFD9E2F3"/>
      </x:bottom>
    </x:border>
    <x:border>
      <x:left style="thin">
        <x:color rgb="FF8EAADB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8EAADB"/>
      </x:right>
      <x:top style="thin">
        <x:color rgb="FFD9E2F3"/>
      </x:top>
      <x:bottom style="thin">
        <x:color rgb="FFD9E2F3"/>
      </x:bottom>
    </x:border>
    <x:border>
      <x:left style="thin">
        <x:color rgb="FF8EAADB"/>
      </x:left>
      <x:right style="thin">
        <x:color rgb="FFD9E2F3"/>
      </x:right>
      <x:top style="thin">
        <x:color rgb="FFD9E2F3"/>
      </x:top>
      <x:bottom style="thin">
        <x:color rgb="FF8EAAD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8EAADB"/>
      </x:bottom>
    </x:border>
    <x:border>
      <x:left style="thin">
        <x:color rgb="FFD9E2F3"/>
      </x:left>
      <x:right style="thin">
        <x:color rgb="FF8EAADB"/>
      </x:right>
      <x:top style="thin">
        <x:color rgb="FFD9E2F3"/>
      </x:top>
      <x:bottom style="thin">
        <x:color rgb="FF8EAADB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3" fontId="5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horizontal="right" vertic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200" fontId="5" fillId="0" borderId="5" xfId="0" applyNumberFormat="1" applyFont="1" applyFill="1" applyBorder="1" applyAlignment="1">
      <x:alignment horizontal="right" vertical="center"/>
    </x:xf>
    <x:xf numFmtId="201" fontId="5" fillId="0" borderId="5" xfId="0" applyNumberFormat="1" applyFont="1" applyFill="1" applyBorder="1" applyAlignment="1">
      <x:alignment horizontal="right" vertical="center"/>
    </x:xf>
    <x:xf numFmtId="202" fontId="5" fillId="0" borderId="5" xfId="0" applyNumberFormat="1" applyFont="1" applyFill="1" applyBorder="1" applyAlignment="1">
      <x:alignment horizontal="right" vertical="center"/>
    </x:xf>
    <x:xf numFmtId="203" fontId="5" fillId="0" borderId="5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right" vertical="center" wrapText="1"/>
    </x:xf>
    <x:xf numFmtId="0" fontId="5" fillId="0" borderId="7" xfId="0" applyNumberFormat="1" applyFont="1" applyFill="1" applyBorder="1" applyAlignment="1">
      <x:alignment horizontal="left" vertical="center"/>
    </x:xf>
    <x:xf numFmtId="0" fontId="5" fillId="0" borderId="8" xfId="0" applyNumberFormat="1" applyFont="1" applyFill="1" applyBorder="1" applyAlignment="1">
      <x:alignment horizontal="left" vertical="center"/>
    </x:xf>
    <x:xf numFmtId="200" fontId="5" fillId="0" borderId="8" xfId="0" applyNumberFormat="1" applyFont="1" applyFill="1" applyBorder="1" applyAlignment="1">
      <x:alignment horizontal="right" vertical="center"/>
    </x:xf>
    <x:xf numFmtId="201" fontId="5" fillId="0" borderId="8" xfId="0" applyNumberFormat="1" applyFont="1" applyFill="1" applyBorder="1" applyAlignment="1">
      <x:alignment horizontal="right" vertical="center"/>
    </x:xf>
    <x:xf numFmtId="202" fontId="5" fillId="0" borderId="8" xfId="0" applyNumberFormat="1" applyFont="1" applyFill="1" applyBorder="1" applyAlignment="1">
      <x:alignment horizontal="right" vertical="center"/>
    </x:xf>
    <x:xf numFmtId="203" fontId="5" fillId="0" borderId="8" xfId="0" applyNumberFormat="1" applyFont="1" applyFill="1" applyBorder="1" applyAlignment="1">
      <x:alignment horizontal="right" vertical="center"/>
    </x:xf>
    <x:xf numFmtId="0" fontId="5" fillId="0" borderId="9" xfId="0" applyNumberFormat="1" applyFont="1" applyFill="1" applyBorder="1" applyAlignment="1">
      <x:alignment horizontal="right" vertical="center"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11" xfId="0" applyNumberFormat="1" applyFont="1" applyFill="1" applyBorder="1" applyAlignment="1">
      <x:alignment horizontal="center" wrapText="1"/>
    </x:xf>
    <x:xf numFmtId="0" fontId="4" fillId="2" borderId="12" xfId="0" applyNumberFormat="1" applyFont="1" applyFill="1" applyBorder="1" applyAlignment="1">
      <x:alignment horizontal="center" wrapText="1"/>
    </x:xf>
    <x:xf numFmtId="0" fontId="4" fillId="2" borderId="13" xfId="0" applyNumberFormat="1" applyFont="1" applyFill="1" applyBorder="1" applyAlignment="1">
      <x:alignment horizontal="center" wrapText="1"/>
    </x:xf>
    <x:xf numFmtId="0" fontId="4" fillId="2" borderId="14" xfId="0" applyNumberFormat="1" applyFont="1" applyFill="1" applyBorder="1" applyAlignment="1">
      <x:alignment horizontal="center" wrapText="1"/>
    </x:xf>
    <x:xf numFmtId="0" fontId="4" fillId="2" borderId="15" xfId="0" applyNumberFormat="1" applyFont="1" applyFill="1" applyBorder="1" applyAlignment="1">
      <x:alignment horizontal="center" wrapText="1"/>
    </x:xf>
    <x:xf numFmtId="0" fontId="5" fillId="0" borderId="16" xfId="0" applyNumberFormat="1" applyFont="1" applyFill="1" applyBorder="1" applyAlignment="1">
      <x:alignment horizontal="left" vertical="center"/>
    </x:xf>
    <x:xf numFmtId="0" fontId="5" fillId="0" borderId="17" xfId="0" applyNumberFormat="1" applyFont="1" applyFill="1" applyBorder="1" applyAlignment="1">
      <x:alignment horizontal="right" vertical="center" wrapText="1"/>
    </x:xf>
    <x:xf numFmtId="0" fontId="5" fillId="0" borderId="18" xfId="0" applyNumberFormat="1" applyFont="1" applyFill="1" applyBorder="1" applyAlignment="1">
      <x:alignment horizontal="left" vertical="center"/>
    </x:xf>
    <x:xf numFmtId="0" fontId="5" fillId="0" borderId="19" xfId="0" applyNumberFormat="1" applyFont="1" applyFill="1" applyBorder="1" applyAlignment="1">
      <x:alignment horizontal="left" vertical="center"/>
    </x:xf>
    <x:xf numFmtId="200" fontId="5" fillId="0" borderId="19" xfId="0" applyNumberFormat="1" applyFont="1" applyFill="1" applyBorder="1" applyAlignment="1">
      <x:alignment horizontal="right" vertical="center"/>
    </x:xf>
    <x:xf numFmtId="201" fontId="5" fillId="0" borderId="19" xfId="0" applyNumberFormat="1" applyFont="1" applyFill="1" applyBorder="1" applyAlignment="1">
      <x:alignment horizontal="right" vertical="center"/>
    </x:xf>
    <x:xf numFmtId="202" fontId="5" fillId="0" borderId="19" xfId="0" applyNumberFormat="1" applyFont="1" applyFill="1" applyBorder="1" applyAlignment="1">
      <x:alignment horizontal="right" vertical="center"/>
    </x:xf>
    <x:xf numFmtId="203" fontId="5" fillId="0" borderId="19" xfId="0" applyNumberFormat="1" applyFont="1" applyFill="1" applyBorder="1" applyAlignment="1">
      <x:alignment horizontal="right" vertical="center"/>
    </x:xf>
    <x:xf numFmtId="0" fontId="5" fillId="0" borderId="20" xfId="0" applyNumberFormat="1" applyFont="1" applyFill="1" applyBorder="1" applyAlignment="1">
      <x:alignment horizontal="right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 applyAlignment="1">
      <x:alignment horizontal="right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5" fillId="0" borderId="4" xfId="0" applyNumberFormat="1" applyFont="1" applyFill="1" applyBorder="1" applyAlignment="1">
      <x:alignment horizontal="left"/>
    </x:xf>
    <x:xf numFmtId="0" fontId="5" fillId="0" borderId="5" xfId="0" applyNumberFormat="1" applyFont="1" applyFill="1" applyBorder="1" applyAlignment="1">
      <x:alignment horizontal="left"/>
    </x:xf>
    <x:xf numFmtId="200" fontId="5" fillId="0" borderId="5" xfId="0" applyNumberFormat="1" applyFont="1" applyFill="1" applyBorder="1" applyAlignment="1">
      <x:alignment horizontal="right"/>
    </x:xf>
    <x:xf numFmtId="202" fontId="5" fillId="0" borderId="5" xfId="0" applyNumberFormat="1" applyFont="1" applyFill="1" applyBorder="1" applyAlignment="1">
      <x:alignment horizontal="right"/>
    </x:xf>
    <x:xf numFmtId="202" fontId="5" fillId="0" borderId="6" xfId="0" applyNumberFormat="1" applyFont="1" applyFill="1" applyBorder="1" applyAlignment="1">
      <x:alignment horizontal="right"/>
    </x:xf>
    <x:xf numFmtId="0" fontId="5" fillId="0" borderId="7" xfId="0" applyNumberFormat="1" applyFont="1" applyFill="1" applyBorder="1" applyAlignment="1">
      <x:alignment horizontal="left"/>
    </x:xf>
    <x:xf numFmtId="0" fontId="5" fillId="0" borderId="8" xfId="0" applyNumberFormat="1" applyFont="1" applyFill="1" applyBorder="1" applyAlignment="1">
      <x:alignment horizontal="left"/>
    </x:xf>
    <x:xf numFmtId="200" fontId="5" fillId="0" borderId="8" xfId="0" applyNumberFormat="1" applyFont="1" applyFill="1" applyBorder="1" applyAlignment="1">
      <x:alignment horizontal="right"/>
    </x:xf>
    <x:xf numFmtId="202" fontId="5" fillId="0" borderId="8" xfId="0" applyNumberFormat="1" applyFont="1" applyFill="1" applyBorder="1" applyAlignment="1">
      <x:alignment horizontal="right"/>
    </x:xf>
    <x:xf numFmtId="202" fontId="5" fillId="0" borderId="9" xfId="0" applyNumberFormat="1" applyFont="1" applyFill="1" applyBorder="1" applyAlignment="1">
      <x:alignment horizontal="right"/>
    </x:xf>
    <x:xf numFmtId="0" fontId="4" fillId="3" borderId="13" xfId="0" applyNumberFormat="1" applyFont="1" applyFill="1" applyBorder="1" applyAlignment="1">
      <x:alignment horizontal="center" wrapText="1"/>
    </x:xf>
    <x:xf numFmtId="0" fontId="4" fillId="3" borderId="14" xfId="0" applyNumberFormat="1" applyFont="1" applyFill="1" applyBorder="1" applyAlignment="1">
      <x:alignment horizontal="center" wrapText="1"/>
    </x:xf>
    <x:xf numFmtId="0" fontId="4" fillId="3" borderId="15" xfId="0" applyNumberFormat="1" applyFont="1" applyFill="1" applyBorder="1" applyAlignment="1">
      <x:alignment horizontal="center" wrapText="1"/>
    </x:xf>
    <x:xf numFmtId="0" fontId="5" fillId="0" borderId="16" xfId="0" applyNumberFormat="1" applyFont="1" applyFill="1" applyBorder="1" applyAlignment="1">
      <x:alignment horizontal="left"/>
    </x:xf>
    <x:xf numFmtId="202" fontId="5" fillId="0" borderId="17" xfId="0" applyNumberFormat="1" applyFont="1" applyFill="1" applyBorder="1" applyAlignment="1">
      <x:alignment horizontal="right"/>
    </x:xf>
    <x:xf numFmtId="0" fontId="5" fillId="0" borderId="18" xfId="0" applyNumberFormat="1" applyFont="1" applyFill="1" applyBorder="1" applyAlignment="1">
      <x:alignment horizontal="left"/>
    </x:xf>
    <x:xf numFmtId="0" fontId="5" fillId="0" borderId="19" xfId="0" applyNumberFormat="1" applyFont="1" applyFill="1" applyBorder="1" applyAlignment="1">
      <x:alignment horizontal="left"/>
    </x:xf>
    <x:xf numFmtId="200" fontId="5" fillId="0" borderId="19" xfId="0" applyNumberFormat="1" applyFont="1" applyFill="1" applyBorder="1" applyAlignment="1">
      <x:alignment horizontal="right"/>
    </x:xf>
    <x:xf numFmtId="202" fontId="5" fillId="0" borderId="19" xfId="0" applyNumberFormat="1" applyFont="1" applyFill="1" applyBorder="1" applyAlignment="1">
      <x:alignment horizontal="right"/>
    </x:xf>
    <x:xf numFmtId="202" fontId="5" fillId="0" borderId="20" xfId="0" applyNumberFormat="1" applyFont="1" applyFill="1" applyBorder="1" applyAlignment="1">
      <x:alignment horizontal="right"/>
    </x:xf>
    <x:xf numFmtId="0" fontId="4" fillId="3" borderId="0" xfId="0" applyNumberFormat="1" applyFont="1" applyFill="1" applyBorder="1" applyAlignment="1">
      <x:alignment horizontal="center"/>
    </x:xf>
    <x:xf numFmtId="204" fontId="5" fillId="0" borderId="0" xfId="0" applyNumberFormat="1" applyFont="1" applyFill="1" applyBorder="1" applyAlignment="1">
      <x:alignment horizontal="right"/>
    </x:xf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204" fontId="5" fillId="0" borderId="5" xfId="0" applyNumberFormat="1" applyFont="1" applyFill="1" applyBorder="1" applyAlignment="1">
      <x:alignment horizontal="right"/>
    </x:xf>
    <x:xf numFmtId="204" fontId="5" fillId="0" borderId="6" xfId="0" applyNumberFormat="1" applyFont="1" applyFill="1" applyBorder="1" applyAlignment="1">
      <x:alignment horizontal="right"/>
    </x:xf>
    <x:xf numFmtId="204" fontId="5" fillId="0" borderId="8" xfId="0" applyNumberFormat="1" applyFont="1" applyFill="1" applyBorder="1" applyAlignment="1">
      <x:alignment horizontal="right"/>
    </x:xf>
    <x:xf numFmtId="204" fontId="5" fillId="0" borderId="9" xfId="0" applyNumberFormat="1" applyFont="1" applyFill="1" applyBorder="1" applyAlignment="1">
      <x:alignment horizontal="right"/>
    </x:xf>
    <x:xf numFmtId="0" fontId="4" fillId="3" borderId="13" xfId="0" applyNumberFormat="1" applyFont="1" applyFill="1" applyBorder="1" applyAlignment="1">
      <x:alignment horizontal="center"/>
    </x:xf>
    <x:xf numFmtId="0" fontId="4" fillId="3" borderId="14" xfId="0" applyNumberFormat="1" applyFont="1" applyFill="1" applyBorder="1" applyAlignment="1">
      <x:alignment horizontal="center"/>
    </x:xf>
    <x:xf numFmtId="0" fontId="4" fillId="3" borderId="15" xfId="0" applyNumberFormat="1" applyFont="1" applyFill="1" applyBorder="1" applyAlignment="1">
      <x:alignment horizontal="center"/>
    </x:xf>
    <x:xf numFmtId="204" fontId="5" fillId="0" borderId="17" xfId="0" applyNumberFormat="1" applyFont="1" applyFill="1" applyBorder="1" applyAlignment="1">
      <x:alignment horizontal="right"/>
    </x:xf>
    <x:xf numFmtId="204" fontId="5" fillId="0" borderId="19" xfId="0" applyNumberFormat="1" applyFont="1" applyFill="1" applyBorder="1" applyAlignment="1">
      <x:alignment horizontal="right"/>
    </x:xf>
    <x:xf numFmtId="204" fontId="5" fillId="0" borderId="2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5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/>
    <x:xf numFmtId="0" fontId="5" fillId="0" borderId="5" xfId="0" applyNumberFormat="1" applyFont="1" applyFill="1" applyBorder="1" applyAlignment="1">
      <x:alignment horizontal="right"/>
    </x:xf>
    <x:xf numFmtId="0" fontId="5" fillId="0" borderId="5" xfId="0" applyNumberFormat="1" applyFont="1" applyFill="1" applyBorder="1" applyAlignment="1">
      <x:alignment horizontal="right" vertical="center"/>
    </x:xf>
    <x:xf numFmtId="205" fontId="5" fillId="0" borderId="5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5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right" vertical="center" wrapText="1"/>
    </x:xf>
    <x:xf numFmtId="205" fontId="5" fillId="0" borderId="5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350b8bb6641e4" /><Relationship Type="http://schemas.openxmlformats.org/officeDocument/2006/relationships/theme" Target="/xl/theme/theme1.xml" Id="R8221753dbe0d45af" /><Relationship Type="http://schemas.openxmlformats.org/officeDocument/2006/relationships/sharedStrings" Target="/xl/sharedStrings.xml" Id="Refff31e000b24fc7" /><Relationship Type="http://schemas.openxmlformats.org/officeDocument/2006/relationships/worksheet" Target="/xl/worksheets/sheet1.xml" Id="R219dd369d5914748" /><Relationship Type="http://schemas.openxmlformats.org/officeDocument/2006/relationships/worksheet" Target="/xl/worksheets/sheet2.xml" Id="R70d8490a35144a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8" hidden="0" customWidth="1"/>
    <x:col min="7" max="7" width="12" hidden="0" customWidth="1"/>
    <x:col min="8" max="8" width="12" hidden="0" customWidth="1"/>
    <x:col min="9" max="9" width="13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  <x:col min="14" max="14" width="62" hidden="0" customWidth="1"/>
  </x:cols>
  <x:sheetData>
    <x:row r="1" ht="20" customHeight="1">
      <x:c r="A1" s="1" t="str">
        <x:v>ToolSandbox intervention results</x:v>
      </x:c>
      <x:c r="B1" s="1" t="str">
        <x:v>ToolSandbox intervention results</x:v>
      </x:c>
      <x:c r="C1" s="1" t="str">
        <x:v>ToolSandbox intervention results</x:v>
      </x:c>
      <x:c r="D1" s="1" t="str">
        <x:v>ToolSandbox intervention results</x:v>
      </x:c>
      <x:c r="E1" s="1" t="str">
        <x:v>ToolSandbox intervention results</x:v>
      </x:c>
      <x:c r="F1" s="1" t="str">
        <x:v>ToolSandbox intervention results</x:v>
      </x:c>
      <x:c r="G1" s="1" t="str">
        <x:v>ToolSandbox intervention results</x:v>
      </x:c>
      <x:c r="H1" s="1" t="str">
        <x:v>ToolSandbox intervention results</x:v>
      </x:c>
      <x:c r="I1" s="1" t="str">
        <x:v>ToolSandbox intervention results</x:v>
      </x:c>
      <x:c r="J1" s="1" t="str">
        <x:v>ToolSandbox intervention results</x:v>
      </x:c>
      <x:c r="K1" s="1" t="str">
        <x:v>ToolSandbox intervention results</x:v>
      </x:c>
      <x:c r="L1" s="1" t="str">
        <x:v>ToolSandbox intervention results</x:v>
      </x:c>
      <x:c r="M1" s="1" t="str">
        <x:v>ToolSandbox intervention results</x:v>
      </x:c>
    </x:row>
    <x:row r="2" ht="20" customHeight="1">
      <x:c r="A2" s="3" t="str">
        <x:v>Data source: results/exp/toolsandbox_intervention/index.json, metrics.json, and costs.json. Sample: 100 cases × 4 models × 3 repeats × 3 methods. Mean score, score standard deviation, and DS use a 0-100 scale.</x:v>
      </x:c>
      <x:c r="B2" s="3" t="str">
        <x:v>Data source: results/exp/toolsandbox_intervention/index.json, metrics.json, and costs.json. Sample: 100 cases × 4 models × 3 repeats × 3 methods. Mean score, score standard deviation, and DS use a 0-100 scale.</x:v>
      </x:c>
      <x:c r="C2" s="3" t="str">
        <x:v>Data source: results/exp/toolsandbox_intervention/index.json, metrics.json, and costs.json. Sample: 100 cases × 4 models × 3 repeats × 3 methods. Mean score, score standard deviation, and DS use a 0-100 scale.</x:v>
      </x:c>
      <x:c r="D2" s="3" t="str">
        <x:v>Data source: results/exp/toolsandbox_intervention/index.json, metrics.json, and costs.json. Sample: 100 cases × 4 models × 3 repeats × 3 methods. Mean score, score standard deviation, and DS use a 0-100 scale.</x:v>
      </x:c>
      <x:c r="E2" s="3" t="str">
        <x:v>Data source: results/exp/toolsandbox_intervention/index.json, metrics.json, and costs.json. Sample: 100 cases × 4 models × 3 repeats × 3 methods. Mean score, score standard deviation, and DS use a 0-100 scale.</x:v>
      </x:c>
      <x:c r="F2" s="3" t="str">
        <x:v>Data source: results/exp/toolsandbox_intervention/index.json, metrics.json, and costs.json. Sample: 100 cases × 4 models × 3 repeats × 3 methods. Mean score, score standard deviation, and DS use a 0-100 scale.</x:v>
      </x:c>
      <x:c r="G2" s="3" t="str">
        <x:v>Data source: results/exp/toolsandbox_intervention/index.json, metrics.json, and costs.json. Sample: 100 cases × 4 models × 3 repeats × 3 methods. Mean score, score standard deviation, and DS use a 0-100 scale.</x:v>
      </x:c>
      <x:c r="H2" s="3" t="str">
        <x:v>Data source: results/exp/toolsandbox_intervention/index.json, metrics.json, and costs.json. Sample: 100 cases × 4 models × 3 repeats × 3 methods. Mean score, score standard deviation, and DS use a 0-100 scale.</x:v>
      </x:c>
      <x:c r="I2" s="3" t="str">
        <x:v>Data source: results/exp/toolsandbox_intervention/index.json, metrics.json, and costs.json. Sample: 100 cases × 4 models × 3 repeats × 3 methods. Mean score, score standard deviation, and DS use a 0-100 scale.</x:v>
      </x:c>
      <x:c r="J2" s="3" t="str">
        <x:v>Data source: results/exp/toolsandbox_intervention/index.json, metrics.json, and costs.json. Sample: 100 cases × 4 models × 3 repeats × 3 methods. Mean score, score standard deviation, and DS use a 0-100 scale.</x:v>
      </x:c>
      <x:c r="K2" s="3" t="str">
        <x:v>Data source: results/exp/toolsandbox_intervention/index.json, metrics.json, and costs.json. Sample: 100 cases × 4 models × 3 repeats × 3 methods. Mean score, score standard deviation, and DS use a 0-100 scale.</x:v>
      </x:c>
      <x:c r="L2" s="3" t="str">
        <x:v>Data source: results/exp/toolsandbox_intervention/index.json, metrics.json, and costs.json. Sample: 100 cases × 4 models × 3 repeats × 3 methods. Mean score, score standard deviation, and DS use a 0-100 scale.</x:v>
      </x:c>
      <x:c r="M2" s="3" t="str">
        <x:v>Data source: results/exp/toolsandbox_intervention/index.json, metrics.json, and costs.json. Sample: 100 cases × 4 models × 3 repeats × 3 methods. Mean score, score standard deviation, and DS use a 0-100 scale.</x:v>
      </x:c>
    </x:row>
    <x:row r="3" ht="20" customHeight="1">
      <x:c r="A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B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C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D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E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F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G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H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I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J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K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L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M3" s="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  <x:c r="N3" t="str">
        <x:v>Score standard deviation is the population standard deviation of the four model mean scores. DS uses ε=0.01 and is multiplied by 100. Saved steps is the mean per-record saved progress ratio over the paired sample. Task completion rate is completed_count / valid_native_score_count; the configuration value is the mean of the four model-level rates.</x:v>
      </x:c>
    </x:row>
    <x:row r="4" ht="24" customHeight="1">
      <x:c r="A4" s="4" t="str">
        <x:v>Main results</x:v>
      </x:c>
      <x:c r="B4" s="4" t="str">
        <x:v>Main results</x:v>
      </x:c>
      <x:c r="C4" s="4" t="str">
        <x:v>Main results</x:v>
      </x:c>
      <x:c r="D4" s="4" t="str">
        <x:v>Main results</x:v>
      </x:c>
      <x:c r="E4" s="4" t="str">
        <x:v>Main results</x:v>
      </x:c>
      <x:c r="F4" s="4" t="str">
        <x:v>Main results</x:v>
      </x:c>
      <x:c r="G4" s="4" t="str">
        <x:v>Main results</x:v>
      </x:c>
      <x:c r="H4" s="4" t="str">
        <x:v>Main results</x:v>
      </x:c>
      <x:c r="I4" s="4" t="str">
        <x:v>Main results</x:v>
      </x:c>
      <x:c r="J4" s="4" t="str">
        <x:v>Main results</x:v>
      </x:c>
      <x:c r="K4" s="4" t="str">
        <x:v>Main results</x:v>
      </x:c>
      <x:c r="L4" s="4" t="str">
        <x:v>Main results</x:v>
      </x:c>
      <x:c r="M4" s="4" t="str">
        <x:v>Main results</x:v>
      </x:c>
    </x:row>
    <x:row r="5" ht="34" customHeight="1">
      <x:c r="A5" s="38" t="str">
        <x:v>Configuration</x:v>
      </x:c>
      <x:c r="B5" s="39" t="str">
        <x:v>Method</x:v>
      </x:c>
      <x:c r="C5" s="39" t="str">
        <x:v>Mean score (0-100)</x:v>
      </x:c>
      <x:c r="D5" s="39" t="str">
        <x:v>Score std (0-100)</x:v>
      </x:c>
      <x:c r="E5" s="39" t="str">
        <x:v>DS (ε=0.01, 0-100)</x:v>
      </x:c>
      <x:c r="F5" s="39" t="str">
        <x:v>Significant model pairs</x:v>
      </x:c>
      <x:c r="G5" s="39" t="str">
        <x:v>Stop count</x:v>
      </x:c>
      <x:c r="H5" s="39" t="str">
        <x:v>Stop rate</x:v>
      </x:c>
      <x:c r="I5" s="39" t="str">
        <x:v>Saved steps</x:v>
      </x:c>
      <x:c r="J5" s="39" t="str">
        <x:v>Sample count</x:v>
      </x:c>
      <x:c r="K5" s="39" t="str">
        <x:v>Valid scores</x:v>
      </x:c>
      <x:c r="L5" s="39" t="str">
        <x:v>Failures</x:v>
      </x:c>
      <x:c r="M5" s="114" t="str">
        <x:v>Task completion rate (model mean)</x:v>
      </x:c>
      <x:c r="N5" s="114" t="str">
        <x:v>Notes</x:v>
      </x:c>
    </x:row>
    <x:row r="6" ht="44" customHeight="1">
      <x:c r="A6" s="41" t="str">
        <x:v>Default</x:v>
      </x:c>
      <x:c r="B6" s="22" t="str">
        <x:v>default</x:v>
      </x:c>
      <x:c r="C6" s="23" t="n">
        <x:f>AVERAGE(ModelAudit!D6:D9)</x:f>
        <x:v>82.95172911286929</x:v>
      </x:c>
      <x:c r="D6" s="23" t="n">
        <x:f>STDEVP(ModelAudit!D6:D9)</x:f>
        <x:v>4.588700062031389</x:v>
      </x:c>
      <x:c r="E6" s="23" t="n">
        <x:v>4.516672469182042</x:v>
      </x:c>
      <x:c r="F6" s="24" t="str">
        <x:v>4/6</x:v>
      </x:c>
      <x:c r="G6" s="25" t="n">
        <x:v>0</x:v>
      </x:c>
      <x:c r="H6" s="25" t="n">
        <x:f>IF(ModelAudit!B21=0,0,ModelAudit!C21/ModelAudit!B21)</x:f>
        <x:v>0</x:v>
      </x:c>
      <x:c r="I6" s="26" t="str">
        <x:v>n.a.</x:v>
      </x:c>
      <x:c r="J6" s="25" t="n">
        <x:f>SUM(ModelAudit!H6:H9)</x:f>
        <x:v>1200</x:v>
      </x:c>
      <x:c r="K6" s="25" t="n">
        <x:f>SUM(ModelAudit!G6:G9)</x:f>
        <x:v>1200</x:v>
      </x:c>
      <x:c r="L6" s="25" t="n">
        <x:f>SUM(ModelAudit!I6:I9)</x:f>
        <x:v>0</x:v>
      </x:c>
      <x:c r="M6" s="116" t="n">
        <x:f>AVERAGE(ModelAudit!J6:J9)</x:f>
        <x:v>0.08666666666666667</x:v>
      </x:c>
      <x:c r="N6" s="116" t="str">
        <x:v>No DynSTEER evaluation or policy stop.</x:v>
      </x:c>
    </x:row>
    <x:row r="7" ht="44" customHeight="1">
      <x:c r="A7" s="41" t="str">
        <x:v>DynSTEER</x:v>
      </x:c>
      <x:c r="B7" s="22" t="str">
        <x:v>dynsteer_evaluate</x:v>
      </x:c>
      <x:c r="C7" s="23" t="n">
        <x:f>AVERAGE(ModelAudit!D10:D13)</x:f>
        <x:v>63.956791501002556</x:v>
      </x:c>
      <x:c r="D7" s="23" t="n">
        <x:f>STDEVP(ModelAudit!D10:D13)</x:f>
        <x:v>3.3973925742858078</x:v>
      </x:c>
      <x:c r="E7" s="23" t="n">
        <x:v>4.84918152282994</x:v>
      </x:c>
      <x:c r="F7" s="24" t="str">
        <x:v>5/6</x:v>
      </x:c>
      <x:c r="G7" s="25" t="n">
        <x:v>206</x:v>
      </x:c>
      <x:c r="H7" s="25" t="n">
        <x:f>IF(ModelAudit!B22=0,0,ModelAudit!C22/ModelAudit!B22)</x:f>
        <x:v>0.17166666666666666</x:v>
      </x:c>
      <x:c r="I7" s="26" t="n">
        <x:f>ModelAudit!D22/J7</x:f>
        <x:v>0.15348557846234148</x:v>
      </x:c>
      <x:c r="J7" s="25" t="n">
        <x:f>SUM(ModelAudit!H10:H13)</x:f>
        <x:v>1200</x:v>
      </x:c>
      <x:c r="K7" s="25" t="n">
        <x:f>SUM(ModelAudit!G10:G13)</x:f>
        <x:v>1172</x:v>
      </x:c>
      <x:c r="L7" s="25" t="n">
        <x:f>SUM(ModelAudit!I10:I13)</x:f>
        <x:v>28</x:v>
      </x:c>
      <x:c r="M7" s="116" t="n">
        <x:f>AVERAGE(ModelAudit!J10:J13)</x:f>
        <x:v>0.05534313725490196</x:v>
      </x:c>
      <x:c r="N7" s="116" t="str">
        <x:v>Online evaluation with dynamic routing, dynamic weighting, milestone graph, minefields, and policy stop.</x:v>
      </x:c>
    </x:row>
    <x:row r="8" ht="44" customHeight="1">
      <x:c r="A8" s="43" t="str">
        <x:v>DynSTEER + Guided</x:v>
      </x:c>
      <x:c r="B8" s="44" t="str">
        <x:v>dynsteer_evaluate_guided</x:v>
      </x:c>
      <x:c r="C8" s="45" t="n">
        <x:f>AVERAGE(ModelAudit!D14:D17)</x:f>
        <x:v>65.42494212633545</x:v>
      </x:c>
      <x:c r="D8" s="45" t="n">
        <x:f>STDEVP(ModelAudit!D14:D17)</x:f>
        <x:v>4.620887983593527</x:v>
      </x:c>
      <x:c r="E8" s="45" t="n">
        <x:v>7.062884327311441</x:v>
      </x:c>
      <x:c r="F8" s="46" t="str">
        <x:v>6/6</x:v>
      </x:c>
      <x:c r="G8" s="47" t="n">
        <x:v>123</x:v>
      </x:c>
      <x:c r="H8" s="47" t="n">
        <x:f>IF(ModelAudit!B23=0,0,ModelAudit!C23/ModelAudit!B23)</x:f>
        <x:v>0.1025</x:v>
      </x:c>
      <x:c r="I8" s="48" t="n">
        <x:f>ModelAudit!D23/J8</x:f>
        <x:v>0.12942568640865434</x:v>
      </x:c>
      <x:c r="J8" s="47" t="n">
        <x:f>SUM(ModelAudit!H14:H17)</x:f>
        <x:v>1200</x:v>
      </x:c>
      <x:c r="K8" s="47" t="n">
        <x:f>SUM(ModelAudit!G14:G17)</x:f>
        <x:v>1200</x:v>
      </x:c>
      <x:c r="L8" s="47" t="n">
        <x:f>SUM(ModelAudit!I14:I17)</x:f>
        <x:v>0</x:v>
      </x:c>
      <x:c r="M8" s="116" t="n">
        <x:f>AVERAGE(ModelAudit!J14:J17)</x:f>
        <x:v>0.06083333333333333</x:v>
      </x:c>
      <x:c r="N8" s="116" t="str">
        <x:v>Online evaluation and policy stop with guided intervention.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1719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27" hidden="0" customWidth="1"/>
    <x:col min="4" max="4" width="19" hidden="0" customWidth="1"/>
    <x:col min="5" max="5" width="19" hidden="0" customWidth="1"/>
    <x:col min="6" max="6" width="19" hidden="0" customWidth="1"/>
    <x:col min="7" max="7" width="14" hidden="0" customWidth="1"/>
    <x:col min="8" max="8" width="14" hidden="0" customWidth="1"/>
    <x:col min="9" max="9" width="14" hidden="0" customWidth="1"/>
    <x:col min="10" max="10" width="20" hidden="0" customWidth="1"/>
  </x:cols>
  <x:sheetData>
    <x:row r="1" ht="20" customHeight="1">
      <x:c r="A1" s="1" t="str">
        <x:v>Model-level audit</x:v>
      </x:c>
      <x:c r="B1" s="1" t="str">
        <x:v>Model-level audit</x:v>
      </x:c>
      <x:c r="C1" s="1" t="str">
        <x:v>Model-level audit</x:v>
      </x:c>
      <x:c r="D1" s="1" t="str">
        <x:v>Model-level audit</x:v>
      </x:c>
      <x:c r="E1" s="1" t="str">
        <x:v>Model-level audit</x:v>
      </x:c>
      <x:c r="F1" s="1" t="str">
        <x:v>Model-level audit</x:v>
      </x:c>
      <x:c r="G1" s="1" t="str">
        <x:v>Model-level audit</x:v>
      </x:c>
      <x:c r="H1" s="1" t="str">
        <x:v>Model-level audit</x:v>
      </x:c>
      <x:c r="I1" s="1" t="str">
        <x:v>Model-level audit</x:v>
      </x:c>
    </x:row>
    <x:row r="2" ht="20" customHeight="1">
      <x:c r="A2" s="3" t="str">
        <x:v>Each model contains 100 cases × 3 repeats. Score measures use a 0-100 scale; case std is within valid records and repeat std is across repeat means.</x:v>
      </x:c>
      <x:c r="B2" s="3" t="str">
        <x:v>Each model contains 100 cases × 3 repeats. Score measures use a 0-100 scale; case std is within valid records and repeat std is across repeat means.</x:v>
      </x:c>
      <x:c r="C2" s="3" t="str">
        <x:v>Each model contains 100 cases × 3 repeats. Score measures use a 0-100 scale; case std is within valid records and repeat std is across repeat means.</x:v>
      </x:c>
      <x:c r="D2" s="3" t="str">
        <x:v>Each model contains 100 cases × 3 repeats. Score measures use a 0-100 scale; case std is within valid records and repeat std is across repeat means.</x:v>
      </x:c>
      <x:c r="E2" s="3" t="str">
        <x:v>Each model contains 100 cases × 3 repeats. Score measures use a 0-100 scale; case std is within valid records and repeat std is across repeat means.</x:v>
      </x:c>
      <x:c r="F2" s="3" t="str">
        <x:v>Each model contains 100 cases × 3 repeats. Score measures use a 0-100 scale; case std is within valid records and repeat std is across repeat means.</x:v>
      </x:c>
      <x:c r="G2" s="3" t="str">
        <x:v>Each model contains 100 cases × 3 repeats. Score measures use a 0-100 scale; case std is within valid records and repeat std is across repeat means.</x:v>
      </x:c>
      <x:c r="H2" s="3" t="str">
        <x:v>Each model contains 100 cases × 3 repeats. Score measures use a 0-100 scale; case std is within valid records and repeat std is across repeat means.</x:v>
      </x:c>
      <x:c r="I2" s="3" t="str">
        <x:v>Each model contains 100 cases × 3 repeats. Score measures use a 0-100 scale; case std is within valid records and repeat std is across repeat means.</x:v>
      </x:c>
    </x:row>
    <x:row r="4">
      <x:c r="A4" s="4" t="str">
        <x:v>Model detail</x:v>
      </x:c>
      <x:c r="B4" s="4" t="str">
        <x:v>Model detail</x:v>
      </x:c>
      <x:c r="C4" s="4" t="str">
        <x:v>Model detail</x:v>
      </x:c>
      <x:c r="D4" s="4" t="str">
        <x:v>Model detail</x:v>
      </x:c>
      <x:c r="E4" s="4" t="str">
        <x:v>Model detail</x:v>
      </x:c>
      <x:c r="F4" s="4" t="str">
        <x:v>Model detail</x:v>
      </x:c>
      <x:c r="G4" s="4" t="str">
        <x:v>Model detail</x:v>
      </x:c>
      <x:c r="H4" s="4" t="str">
        <x:v>Model detail</x:v>
      </x:c>
      <x:c r="I4" s="4" t="str">
        <x:v>Model detail</x:v>
      </x:c>
    </x:row>
    <x:row r="5" ht="34" customHeight="1">
      <x:c r="A5" s="71" t="str">
        <x:v>Configuration</x:v>
      </x:c>
      <x:c r="B5" s="72" t="str">
        <x:v>Method</x:v>
      </x:c>
      <x:c r="C5" s="72" t="str">
        <x:v>Model</x:v>
      </x:c>
      <x:c r="D5" s="72" t="str">
        <x:v>Mean score (0-100)</x:v>
      </x:c>
      <x:c r="E5" s="72" t="str">
        <x:v>Case score std (0-100)</x:v>
      </x:c>
      <x:c r="F5" s="72" t="str">
        <x:v>Repeat std (0-100)</x:v>
      </x:c>
      <x:c r="G5" s="72" t="str">
        <x:v>Valid scores</x:v>
      </x:c>
      <x:c r="H5" s="72" t="str">
        <x:v>Records</x:v>
      </x:c>
      <x:c r="I5" s="73" t="str">
        <x:v>Failures</x:v>
      </x:c>
      <x:c r="J5" s="101" t="str">
        <x:v>Task completion rate</x:v>
      </x:c>
    </x:row>
    <x:row r="6" ht="20" customHeight="1">
      <x:c r="A6" s="74" t="str">
        <x:v>Default</x:v>
      </x:c>
      <x:c r="B6" s="62" t="str">
        <x:v>default</x:v>
      </x:c>
      <x:c r="C6" s="62" t="str">
        <x:v>deepseek-v4-flash</x:v>
      </x:c>
      <x:c r="D6" s="63" t="n">
        <x:v>87.55817572897729</x:v>
      </x:c>
      <x:c r="E6" s="63" t="n">
        <x:v>12.678411279841617</x:v>
      </x:c>
      <x:c r="F6" s="63" t="n">
        <x:v>0.35306667254152024</x:v>
      </x:c>
      <x:c r="G6" s="64" t="n">
        <x:v>300</x:v>
      </x:c>
      <x:c r="H6" s="64" t="n">
        <x:v>300</x:v>
      </x:c>
      <x:c r="I6" s="75" t="n">
        <x:v>0</x:v>
      </x:c>
      <x:c r="J6" s="105" t="n">
        <x:v>0.13</x:v>
      </x:c>
    </x:row>
    <x:row r="7" ht="20" customHeight="1">
      <x:c r="A7" s="74" t="str">
        <x:v>Default</x:v>
      </x:c>
      <x:c r="B7" s="62" t="str">
        <x:v>default</x:v>
      </x:c>
      <x:c r="C7" s="62" t="str">
        <x:v>deepseek-v4-pro</x:v>
      </x:c>
      <x:c r="D7" s="63" t="n">
        <x:v>87.52223318603063</x:v>
      </x:c>
      <x:c r="E7" s="63" t="n">
        <x:v>12.854903863268257</x:v>
      </x:c>
      <x:c r="F7" s="63" t="n">
        <x:v>0.747700402954616</x:v>
      </x:c>
      <x:c r="G7" s="64" t="n">
        <x:v>300</x:v>
      </x:c>
      <x:c r="H7" s="64" t="n">
        <x:v>300</x:v>
      </x:c>
      <x:c r="I7" s="75" t="n">
        <x:v>0</x:v>
      </x:c>
      <x:c r="J7" s="105" t="n">
        <x:v>0.14333333333333334</x:v>
      </x:c>
    </x:row>
    <x:row r="8" ht="20" customHeight="1">
      <x:c r="A8" s="74" t="str">
        <x:v>Default</x:v>
      </x:c>
      <x:c r="B8" s="62" t="str">
        <x:v>default</x:v>
      </x:c>
      <x:c r="C8" s="62" t="str">
        <x:v>qwen-plus-2025-12-01</x:v>
      </x:c>
      <x:c r="D8" s="63" t="n">
        <x:v>78.42491068459184</x:v>
      </x:c>
      <x:c r="E8" s="63" t="n">
        <x:v>19.103535047993304</x:v>
      </x:c>
      <x:c r="F8" s="63" t="n">
        <x:v>1.5755061463861644</x:v>
      </x:c>
      <x:c r="G8" s="64" t="n">
        <x:v>300</x:v>
      </x:c>
      <x:c r="H8" s="64" t="n">
        <x:v>300</x:v>
      </x:c>
      <x:c r="I8" s="75" t="n">
        <x:v>0</x:v>
      </x:c>
      <x:c r="J8" s="105" t="n">
        <x:v>0.04666666666666667</x:v>
      </x:c>
    </x:row>
    <x:row r="9" ht="20" customHeight="1">
      <x:c r="A9" s="74" t="str">
        <x:v>Default</x:v>
      </x:c>
      <x:c r="B9" s="62" t="str">
        <x:v>default</x:v>
      </x:c>
      <x:c r="C9" s="62" t="str">
        <x:v>qwen3-max-2026-01-23</x:v>
      </x:c>
      <x:c r="D9" s="63" t="n">
        <x:v>78.30159685187736</x:v>
      </x:c>
      <x:c r="E9" s="63" t="n">
        <x:v>21.156789071659702</x:v>
      </x:c>
      <x:c r="F9" s="63" t="n">
        <x:v>0.3882228503813717</x:v>
      </x:c>
      <x:c r="G9" s="64" t="n">
        <x:v>300</x:v>
      </x:c>
      <x:c r="H9" s="64" t="n">
        <x:v>300</x:v>
      </x:c>
      <x:c r="I9" s="75" t="n">
        <x:v>0</x:v>
      </x:c>
      <x:c r="J9" s="105" t="n">
        <x:v>0.02666666666666667</x:v>
      </x:c>
    </x:row>
    <x:row r="10" ht="20" customHeight="1">
      <x:c r="A10" s="74" t="str">
        <x:v>DynSTEER</x:v>
      </x:c>
      <x:c r="B10" s="62" t="str">
        <x:v>dynsteer_evaluate</x:v>
      </x:c>
      <x:c r="C10" s="62" t="str">
        <x:v>deepseek-v4-flash</x:v>
      </x:c>
      <x:c r="D10" s="63" t="n">
        <x:v>68.52055195334944</x:v>
      </x:c>
      <x:c r="E10" s="63" t="n">
        <x:v>27.294842383313455</x:v>
      </x:c>
      <x:c r="F10" s="63" t="n">
        <x:v>2.595783175806159</x:v>
      </x:c>
      <x:c r="G10" s="64" t="n">
        <x:v>300</x:v>
      </x:c>
      <x:c r="H10" s="64" t="n">
        <x:v>300</x:v>
      </x:c>
      <x:c r="I10" s="75" t="n">
        <x:v>0</x:v>
      </x:c>
      <x:c r="J10" s="105" t="n">
        <x:v>0.10666666666666667</x:v>
      </x:c>
    </x:row>
    <x:row r="11" ht="20" customHeight="1">
      <x:c r="A11" s="74" t="str">
        <x:v>DynSTEER</x:v>
      </x:c>
      <x:c r="B11" s="62" t="str">
        <x:v>dynsteer_evaluate</x:v>
      </x:c>
      <x:c r="C11" s="62" t="str">
        <x:v>deepseek-v4-pro</x:v>
      </x:c>
      <x:c r="D11" s="63" t="n">
        <x:v>58.93946097330186</x:v>
      </x:c>
      <x:c r="E11" s="63" t="n">
        <x:v>29.266720781857163</x:v>
      </x:c>
      <x:c r="F11" s="63" t="n">
        <x:v>0.8111125041071917</x:v>
      </x:c>
      <x:c r="G11" s="64" t="n">
        <x:v>300</x:v>
      </x:c>
      <x:c r="H11" s="64" t="n">
        <x:v>300</x:v>
      </x:c>
      <x:c r="I11" s="75" t="n">
        <x:v>0</x:v>
      </x:c>
      <x:c r="J11" s="105" t="n">
        <x:v>0.06666666666666667</x:v>
      </x:c>
    </x:row>
    <x:row r="12" ht="20" customHeight="1">
      <x:c r="A12" s="74" t="str">
        <x:v>DynSTEER</x:v>
      </x:c>
      <x:c r="B12" s="62" t="str">
        <x:v>dynsteer_evaluate</x:v>
      </x:c>
      <x:c r="C12" s="62" t="str">
        <x:v>qwen-plus-2025-12-01</x:v>
      </x:c>
      <x:c r="D12" s="63" t="n">
        <x:v>64.00367765316537</x:v>
      </x:c>
      <x:c r="E12" s="63" t="n">
        <x:v>26.063299103282688</x:v>
      </x:c>
      <x:c r="F12" s="63" t="n">
        <x:v>0.7090558705631921</x:v>
      </x:c>
      <x:c r="G12" s="64" t="n">
        <x:v>272</x:v>
      </x:c>
      <x:c r="H12" s="64" t="n">
        <x:v>300</x:v>
      </x:c>
      <x:c r="I12" s="75" t="n">
        <x:v>28</x:v>
      </x:c>
      <x:c r="J12" s="105" t="n">
        <x:v>0.014705882352941176</x:v>
      </x:c>
    </x:row>
    <x:row r="13" ht="20" customHeight="1">
      <x:c r="A13" s="74" t="str">
        <x:v>DynSTEER</x:v>
      </x:c>
      <x:c r="B13" s="62" t="str">
        <x:v>dynsteer_evaluate</x:v>
      </x:c>
      <x:c r="C13" s="62" t="str">
        <x:v>qwen3-max-2026-01-23</x:v>
      </x:c>
      <x:c r="D13" s="63" t="n">
        <x:v>64.36347542419354</x:v>
      </x:c>
      <x:c r="E13" s="63" t="n">
        <x:v>26.374937696256286</x:v>
      </x:c>
      <x:c r="F13" s="63" t="n">
        <x:v>1.1570351396613372</x:v>
      </x:c>
      <x:c r="G13" s="64" t="n">
        <x:v>300</x:v>
      </x:c>
      <x:c r="H13" s="64" t="n">
        <x:v>300</x:v>
      </x:c>
      <x:c r="I13" s="75" t="n">
        <x:v>0</x:v>
      </x:c>
      <x:c r="J13" s="105" t="n">
        <x:v>0.03333333333333333</x:v>
      </x:c>
    </x:row>
    <x:row r="14" ht="20" customHeight="1">
      <x:c r="A14" s="74" t="str">
        <x:v>DynSTEER + Guided</x:v>
      </x:c>
      <x:c r="B14" s="62" t="str">
        <x:v>dynsteer_evaluate_guided</x:v>
      </x:c>
      <x:c r="C14" s="62" t="str">
        <x:v>deepseek-v4-flash</x:v>
      </x:c>
      <x:c r="D14" s="63" t="n">
        <x:v>71.46741865985217</x:v>
      </x:c>
      <x:c r="E14" s="63" t="n">
        <x:v>26.070154580798295</x:v>
      </x:c>
      <x:c r="F14" s="63" t="n">
        <x:v>1.7324666527709625</x:v>
      </x:c>
      <x:c r="G14" s="64" t="n">
        <x:v>300</x:v>
      </x:c>
      <x:c r="H14" s="64" t="n">
        <x:v>300</x:v>
      </x:c>
      <x:c r="I14" s="75" t="n">
        <x:v>0</x:v>
      </x:c>
      <x:c r="J14" s="105" t="n">
        <x:v>0.12333333333333334</x:v>
      </x:c>
    </x:row>
    <x:row r="15" ht="20" customHeight="1">
      <x:c r="A15" s="74" t="str">
        <x:v>DynSTEER + Guided</x:v>
      </x:c>
      <x:c r="B15" s="62" t="str">
        <x:v>dynsteer_evaluate_guided</x:v>
      </x:c>
      <x:c r="C15" s="62" t="str">
        <x:v>deepseek-v4-pro</x:v>
      </x:c>
      <x:c r="D15" s="63" t="n">
        <x:v>58.728689010128086</x:v>
      </x:c>
      <x:c r="E15" s="63" t="n">
        <x:v>30.65664786254055</x:v>
      </x:c>
      <x:c r="F15" s="63" t="n">
        <x:v>0.154216188300456</x:v>
      </x:c>
      <x:c r="G15" s="64" t="n">
        <x:v>300</x:v>
      </x:c>
      <x:c r="H15" s="64" t="n">
        <x:v>300</x:v>
      </x:c>
      <x:c r="I15" s="75" t="n">
        <x:v>0</x:v>
      </x:c>
      <x:c r="J15" s="105" t="n">
        <x:v>0.11333333333333333</x:v>
      </x:c>
    </x:row>
    <x:row r="16" ht="20" customHeight="1">
      <x:c r="A16" s="74" t="str">
        <x:v>DynSTEER + Guided</x:v>
      </x:c>
      <x:c r="B16" s="62" t="str">
        <x:v>dynsteer_evaluate_guided</x:v>
      </x:c>
      <x:c r="C16" s="62" t="str">
        <x:v>qwen-plus-2025-12-01</x:v>
      </x:c>
      <x:c r="D16" s="63" t="n">
        <x:v>67.13844187429396</x:v>
      </x:c>
      <x:c r="E16" s="63" t="n">
        <x:v>25.127767784547476</x:v>
      </x:c>
      <x:c r="F16" s="63" t="n">
        <x:v>2.123146045446804</x:v>
      </x:c>
      <x:c r="G16" s="64" t="n">
        <x:v>300</x:v>
      </x:c>
      <x:c r="H16" s="64" t="n">
        <x:v>300</x:v>
      </x:c>
      <x:c r="I16" s="75" t="n">
        <x:v>0</x:v>
      </x:c>
      <x:c r="J16" s="105" t="n">
        <x:v>0.006666666666666667</x:v>
      </x:c>
    </x:row>
    <x:row r="17" ht="20" customHeight="1">
      <x:c r="A17" s="76" t="str">
        <x:v>DynSTEER + Guided</x:v>
      </x:c>
      <x:c r="B17" s="77" t="str">
        <x:v>dynsteer_evaluate_guided</x:v>
      </x:c>
      <x:c r="C17" s="77" t="str">
        <x:v>qwen3-max-2026-01-23</x:v>
      </x:c>
      <x:c r="D17" s="78" t="n">
        <x:v>64.36521896106763</x:v>
      </x:c>
      <x:c r="E17" s="78" t="n">
        <x:v>24.554813285976916</x:v>
      </x:c>
      <x:c r="F17" s="78" t="n">
        <x:v>0.05081095096023254</x:v>
      </x:c>
      <x:c r="G17" s="79" t="n">
        <x:v>300</x:v>
      </x:c>
      <x:c r="H17" s="79" t="n">
        <x:v>300</x:v>
      </x:c>
      <x:c r="I17" s="80" t="n">
        <x:v>0</x:v>
      </x:c>
      <x:c r="J17" s="105" t="n">
        <x:v>0</x:v>
      </x:c>
    </x:row>
    <x:row r="19">
      <x:c r="A19" s="4" t="str">
        <x:v>Stop calculation inputs</x:v>
      </x:c>
      <x:c r="B19" s="4"/>
      <x:c r="C19" s="4"/>
      <x:c r="D19" s="4"/>
    </x:row>
    <x:row r="20">
      <x:c r="A20" s="90" t="str">
        <x:v>Configuration</x:v>
      </x:c>
      <x:c r="B20" s="91" t="str">
        <x:v>Paired records</x:v>
      </x:c>
      <x:c r="C20" s="91" t="str">
        <x:v>Stop count</x:v>
      </x:c>
      <x:c r="D20" s="92" t="str">
        <x:v>Saved progress total</x:v>
      </x:c>
    </x:row>
    <x:row r="21">
      <x:c r="A21" s="74" t="str">
        <x:v>Default</x:v>
      </x:c>
      <x:c r="B21" s="86" t="n">
        <x:v>0</x:v>
      </x:c>
      <x:c r="C21" s="86" t="n">
        <x:v>0</x:v>
      </x:c>
      <x:c r="D21" s="93" t="n">
        <x:v>0</x:v>
      </x:c>
    </x:row>
    <x:row r="22">
      <x:c r="A22" s="74" t="str">
        <x:v>DynSTEER</x:v>
      </x:c>
      <x:c r="B22" s="86" t="n">
        <x:v>1200</x:v>
      </x:c>
      <x:c r="C22" s="86" t="n">
        <x:v>206</x:v>
      </x:c>
      <x:c r="D22" s="93" t="n">
        <x:v>184.18269415480978</x:v>
      </x:c>
    </x:row>
    <x:row r="23">
      <x:c r="A23" s="76" t="str">
        <x:v>DynSTEER + Guided</x:v>
      </x:c>
      <x:c r="B23" s="94" t="n">
        <x:v>1200</x:v>
      </x:c>
      <x:c r="C23" s="94" t="n">
        <x:v>123</x:v>
      </x:c>
      <x:c r="D23" s="95" t="n">
        <x:v>155.3108236903852</x:v>
      </x:c>
    </x:row>
  </x:sheetData>
  <x:pageMargins left="0.7" right="0.7" top="0.75" bottom="0.75" header="0.3" footer="0.3"/>
</x:worksheet>
</file>