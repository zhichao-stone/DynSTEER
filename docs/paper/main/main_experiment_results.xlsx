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TempCode\Research\DynSTEER\docs\paper\main\"/>
    </mc:Choice>
  </mc:AlternateContent>
  <bookViews>
    <workbookView windowWidth="11950" windowHeight="12080" activeTab="1"/>
  </bookViews>
  <sheets>
    <sheet name="Main Results" sheetId="1" r:id="rId1"/>
    <sheet name="Early Stop" sheetId="2" r:id="rId2"/>
    <sheet name="Method 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<sst xmlns="http://schemas.openxmlformats.org/spreadsheetml/2006/main" count="174" uniqueCount="73">
  <si>
    <t>Main Evaluation Results</t>
  </si>
  <si>
    <t>Scores use a 0-100 scale. Stop rate and image-error treatment are defined on the Method Notes sheet.</t>
  </si>
  <si>
    <t>Benchmark</t>
  </si>
  <si>
    <t>Population</t>
  </si>
  <si>
    <t>Evaluator</t>
  </si>
  <si>
    <t>Model</t>
  </si>
  <si>
    <t>Mean Score</t>
  </si>
  <si>
    <t>SD</t>
  </si>
  <si>
    <t>Policy Stops</t>
  </si>
  <si>
    <t>Runs</t>
  </si>
  <si>
    <t>Stop Rate</t>
  </si>
  <si>
    <t>Signif. Pairs</t>
  </si>
  <si>
    <t>Signif. Pairs %</t>
  </si>
  <si>
    <t>DS (epsilon=1.00)</t>
  </si>
  <si>
    <t>SWE-bench Pro</t>
  </si>
  <si>
    <t>Excluding image errors</t>
  </si>
  <si>
    <t>DEFAULT</t>
  </si>
  <si>
    <t>DeepSeek-V4-Flash</t>
  </si>
  <si>
    <t>DeepSeek-V4-Pro</t>
  </si>
  <si>
    <t>Qwen3-Max-2026-01</t>
  </si>
  <si>
    <t>Qwen-Plus-2025-12</t>
  </si>
  <si>
    <t>DynSTEER</t>
  </si>
  <si>
    <t>ToolSandbox</t>
  </si>
  <si>
    <t>Full population</t>
  </si>
  <si>
    <t>·</t>
  </si>
  <si>
    <t>Early Stop Analysis</t>
  </si>
  <si>
    <t>Halted Runs % is each criterion's share of all DynSTEER policy stops. Mean Stop Progress is intentionally omitted.</t>
  </si>
  <si>
    <t>Termination Criterion</t>
  </si>
  <si>
    <t>Halted Runs</t>
  </si>
  <si>
    <t>Halted Runs %</t>
  </si>
  <si>
    <t>Unique Tasks</t>
  </si>
  <si>
    <t>Unique Tasks %</t>
  </si>
  <si>
    <t>Avoided Raw Steps</t>
  </si>
  <si>
    <t>Default Raw Steps</t>
  </si>
  <si>
    <t>Saved Steps %</t>
  </si>
  <si>
    <t>Score</t>
  </si>
  <si>
    <t>Deadlock</t>
  </si>
  <si>
    <t>Minefield</t>
  </si>
  <si>
    <t>All DynSTEER Policy Stops</t>
  </si>
  <si>
    <t>ToolSandbox Saved Steps by Model</t>
  </si>
  <si>
    <t>Total</t>
  </si>
  <si>
    <t>SWE-Bench pro Saved Steps by Model</t>
  </si>
  <si>
    <t>Method Notes</t>
  </si>
  <si>
    <t>Item</t>
  </si>
  <si>
    <t>Definition or source</t>
  </si>
  <si>
    <t>Data source</t>
  </si>
  <si>
    <t>results/exp/swebench_pro_main</t>
  </si>
  <si>
    <t>results/exp/toolsandbox_main</t>
  </si>
  <si>
    <t>Reference format</t>
  </si>
  <si>
    <t>docs/paper/iclr2027/tables/tab_main_results.tex and tab_early_stop.tex; supplied screenshot</t>
  </si>
  <si>
    <t>Mean of the three repeat-level model means, expanded from 0-1 to 0-100.</t>
  </si>
  <si>
    <t>Population standard deviation across the three repeat-level model means, expanded to 0-100.</t>
  </si>
  <si>
    <t>Policy stops divided by runs for the same evaluator, model, and population. Policy stops include Score, Deadlock, and Minefield.</t>
  </si>
  <si>
    <t>Number of model pairs whose evaluator-level mean scores differ by more than epsilon=1.00 on the 0-100 scale.</t>
  </si>
  <si>
    <t>DS</t>
  </si>
  <si>
    <t>Evaluator SD / evaluator mean x sqrt(Signif. Pairs / 6), calculated on the 0-100 scale with epsilon=1.00.</t>
  </si>
  <si>
    <t>Score stops</t>
  </si>
  <si>
    <t>Termination code evaluation_policy_stop.</t>
  </si>
  <si>
    <t>Deadlock stops</t>
  </si>
  <si>
    <t>Termination codes starting with milestone_no_progress or ready_frontier_no_progress.</t>
  </si>
  <si>
    <t>Minefield stops</t>
  </si>
  <si>
    <t>Termination codes starting with minefield.</t>
  </si>
  <si>
    <t>Criterion halted runs divided by all DynSTEER policy stops in the same population.</t>
  </si>
  <si>
    <t>Distinct task_id values among halted runs, counted across models and repeats in the same population.</t>
  </si>
  <si>
    <t>Saved Steps</t>
  </si>
  <si>
    <t>Sum(max(DEFAULT raw steps - DynSTEER raw steps, 0)) divided by sum(DEFAULT raw steps) in the same population.</t>
  </si>
  <si>
    <t>Including image errors</t>
  </si>
  <si>
    <t>SWE-bench Pro mirror-pull failures (code infrastructure_failure:docker_image_pull_failed) and paired DynSTEER runs are retained; missing execution scores are treated as 0.</t>
  </si>
  <si>
    <t>SWE-bench Pro mirror-pull failures and their paired DynSTEER runs are removed before calculating scores, stop rates, significant pairs, DS, and early-stop statistics.</t>
  </si>
  <si>
    <t>Pairing</t>
  </si>
  <si>
    <t>DEFAULT and DynSTEER runs are matched by benchmark, model, repeat, and task. dynsteer_replay_static is excluded from this summary.</t>
  </si>
  <si>
    <t>Missing scores</t>
  </si>
  <si>
    <t>A blank execution score is distinct from a scored zero. Blank scores are zero only in the explicit including-image-errors population; otherwise they are removed with the paired failed run.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</si>
</sst>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0"/>
  </numFmts>
  <fonts count="26">
    <font>
      <sz val="11"/>
      <name val="Carlito"/>
      <charset val="134"/>
    </font>
    <font>
      <b/>
      <sz val="14"/>
      <color rgb="FF172B4D"/>
      <name val="Arial"/>
      <charset val="134"/>
    </font>
    <font>
      <b/>
      <sz val="10"/>
      <color rgb="FFFFFFFF"/>
      <name val="Arial"/>
      <charset val="134"/>
    </font>
    <font>
      <b/>
      <sz val="10"/>
      <color rgb="FF172B4D"/>
      <name val="Arial"/>
      <charset val="134"/>
    </font>
    <font>
      <sz val="10"/>
      <color rgb="FF172B4D"/>
      <name val="Arial"/>
      <charset val="134"/>
    </font>
    <font>
      <i/>
      <sz val="9"/>
      <color rgb="FF52667A"/>
      <name val="Arial"/>
      <charset val="134"/>
    </font>
    <font>
      <b/>
      <sz val="12"/>
      <color rgb="FF172B4D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medium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0" borderId="0" xfId="49" applyFont="1"/>
    <xf numFmtId="0" fontId="2" fillId="2" borderId="1" xfId="49" applyFont="1" applyFill="1" applyBorder="1" applyAlignment="1">
      <alignment horizontal="center" vertical="center" wrapText="1"/>
    </xf>
    <xf numFmtId="0" fontId="3" fillId="0" borderId="2" xfId="49" applyFont="1" applyBorder="1" applyAlignment="1">
      <alignment vertical="center"/>
    </xf>
    <xf numFmtId="0" fontId="4" fillId="0" borderId="2" xfId="49" applyFont="1" applyBorder="1" applyAlignment="1">
      <alignment vertical="top" wrapText="1"/>
    </xf>
    <xf numFmtId="0" fontId="5" fillId="0" borderId="0" xfId="49" applyFont="1"/>
    <xf numFmtId="0" fontId="4" fillId="0" borderId="2" xfId="49" applyFont="1" applyBorder="1" applyAlignment="1">
      <alignment vertical="center"/>
    </xf>
    <xf numFmtId="3" fontId="4" fillId="0" borderId="2" xfId="49" applyNumberFormat="1" applyFont="1" applyBorder="1" applyAlignment="1">
      <alignment horizontal="right" vertical="center"/>
    </xf>
    <xf numFmtId="10" fontId="4" fillId="0" borderId="2" xfId="49" applyNumberFormat="1" applyFont="1" applyBorder="1" applyAlignment="1">
      <alignment horizontal="right" vertical="center"/>
    </xf>
    <xf numFmtId="3" fontId="3" fillId="0" borderId="2" xfId="49" applyNumberFormat="1" applyFont="1" applyBorder="1" applyAlignment="1">
      <alignment horizontal="right" vertical="center"/>
    </xf>
    <xf numFmtId="10" fontId="3" fillId="0" borderId="2" xfId="49" applyNumberFormat="1" applyFont="1" applyBorder="1" applyAlignment="1">
      <alignment horizontal="right" vertical="center"/>
    </xf>
    <xf numFmtId="0" fontId="3" fillId="0" borderId="3" xfId="49" applyFont="1" applyBorder="1" applyAlignment="1">
      <alignment vertical="center"/>
    </xf>
    <xf numFmtId="3" fontId="3" fillId="0" borderId="3" xfId="49" applyNumberFormat="1" applyFont="1" applyBorder="1" applyAlignment="1">
      <alignment horizontal="right" vertical="center"/>
    </xf>
    <xf numFmtId="10" fontId="3" fillId="0" borderId="3" xfId="49" applyNumberFormat="1" applyFont="1" applyBorder="1" applyAlignment="1">
      <alignment horizontal="right" vertical="center"/>
    </xf>
    <xf numFmtId="0" fontId="6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vertical="center"/>
    </xf>
    <xf numFmtId="3" fontId="4" fillId="0" borderId="2" xfId="0" applyNumberFormat="1" applyFont="1" applyFill="1" applyBorder="1" applyAlignment="1">
      <alignment horizontal="right" vertical="center"/>
    </xf>
    <xf numFmtId="10" fontId="4" fillId="0" borderId="2" xfId="0" applyNumberFormat="1" applyFont="1" applyFill="1" applyBorder="1" applyAlignment="1">
      <alignment horizontal="right" vertical="center"/>
    </xf>
    <xf numFmtId="0" fontId="3" fillId="0" borderId="3" xfId="0" applyNumberFormat="1" applyFont="1" applyFill="1" applyBorder="1" applyAlignment="1">
      <alignment vertical="center"/>
    </xf>
    <xf numFmtId="3" fontId="3" fillId="0" borderId="3" xfId="0" applyNumberFormat="1" applyFont="1" applyFill="1" applyBorder="1" applyAlignment="1">
      <alignment horizontal="right" vertical="center"/>
    </xf>
    <xf numFmtId="10" fontId="3" fillId="0" borderId="3" xfId="0" applyNumberFormat="1" applyFont="1" applyFill="1" applyBorder="1" applyAlignment="1">
      <alignment horizontal="right" vertical="center"/>
    </xf>
    <xf numFmtId="0" fontId="4" fillId="0" borderId="2" xfId="49" applyFont="1" applyBorder="1" applyAlignment="1">
      <alignment horizontal="left" vertical="center"/>
    </xf>
    <xf numFmtId="2" fontId="4" fillId="0" borderId="2" xfId="49" applyNumberFormat="1" applyFont="1" applyBorder="1" applyAlignment="1">
      <alignment horizontal="right" vertical="center"/>
    </xf>
    <xf numFmtId="176" fontId="4" fillId="0" borderId="2" xfId="49" applyNumberFormat="1" applyFont="1" applyBorder="1" applyAlignment="1">
      <alignment horizontal="right" vertical="center"/>
    </xf>
    <xf numFmtId="177" fontId="4" fillId="0" borderId="2" xfId="49" applyNumberFormat="1" applyFont="1" applyBorder="1" applyAlignment="1">
      <alignment horizontal="right" vertical="center"/>
    </xf>
    <xf numFmtId="0" fontId="4" fillId="0" borderId="3" xfId="49" applyFont="1" applyBorder="1" applyAlignment="1">
      <alignment horizontal="left" vertical="center"/>
    </xf>
    <xf numFmtId="2" fontId="4" fillId="0" borderId="3" xfId="49" applyNumberFormat="1" applyFont="1" applyBorder="1" applyAlignment="1">
      <alignment horizontal="right" vertical="center"/>
    </xf>
    <xf numFmtId="3" fontId="4" fillId="0" borderId="3" xfId="49" applyNumberFormat="1" applyFont="1" applyBorder="1" applyAlignment="1">
      <alignment horizontal="right" vertical="center"/>
    </xf>
    <xf numFmtId="10" fontId="4" fillId="0" borderId="3" xfId="49" applyNumberFormat="1" applyFont="1" applyBorder="1" applyAlignment="1">
      <alignment horizontal="right" vertical="center"/>
    </xf>
    <xf numFmtId="176" fontId="4" fillId="0" borderId="3" xfId="49" applyNumberFormat="1" applyFont="1" applyBorder="1" applyAlignment="1">
      <alignment horizontal="right" vertical="center"/>
    </xf>
    <xf numFmtId="177" fontId="4" fillId="0" borderId="3" xfId="49" applyNumberFormat="1" applyFont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8"/>
  <sheetViews>
    <sheetView showGridLines="0" workbookViewId="0">
      <pane xSplit="4" ySplit="5" topLeftCell="E13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4"/>
  <cols>
    <col min="1" max="1" width="7.33333333333333" customWidth="1"/>
    <col min="2" max="2" width="13.5833333333333" customWidth="1"/>
    <col min="3" max="3" width="11.5833333333333" customWidth="1"/>
    <col min="4" max="4" width="18.4166666666667" customWidth="1"/>
    <col min="5" max="5" width="14" customWidth="1"/>
    <col min="6" max="6" width="12" customWidth="1"/>
    <col min="7" max="7" width="14" customWidth="1"/>
    <col min="8" max="8" width="10" customWidth="1"/>
    <col min="9" max="9" width="14" customWidth="1"/>
    <col min="10" max="10" width="15" customWidth="1"/>
    <col min="11" max="11" width="17" customWidth="1"/>
    <col min="12" max="12" width="20" customWidth="1"/>
  </cols>
  <sheetData>
    <row r="1" ht="16" customHeight="1"/>
    <row r="2" ht="16" customHeight="1" spans="1:12">
      <c r="A2" s="1" t="s">
        <v>0</v>
      </c>
    </row>
    <row r="3" ht="16" customHeight="1" spans="1:12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16" customHeight="1"/>
    <row r="5" ht="27" customHeight="1" spans="1:12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</row>
    <row r="6" spans="1:12">
      <c r="A6" s="22" t="s">
        <v>14</v>
      </c>
      <c r="B6" s="22" t="s">
        <v>15</v>
      </c>
      <c r="C6" s="22" t="s">
        <v>16</v>
      </c>
      <c r="D6" s="22" t="s">
        <v>17</v>
      </c>
      <c r="E6" s="23">
        <v>69.5421815011254</v>
      </c>
      <c r="F6" s="23">
        <v>8.60151123396308</v>
      </c>
      <c r="G6" s="7">
        <v>0</v>
      </c>
      <c r="H6" s="7">
        <v>98</v>
      </c>
      <c r="I6" s="8">
        <f t="shared" ref="I6:I21" si="0">G6/H6</f>
        <v>0</v>
      </c>
      <c r="J6" s="7">
        <v>5</v>
      </c>
      <c r="K6" s="24">
        <f t="shared" ref="K6:K21" si="1">J6/6</f>
        <v>0.833333333333333</v>
      </c>
      <c r="L6" s="25">
        <v>0.0324462</v>
      </c>
    </row>
    <row r="7" spans="1:12">
      <c r="A7" s="22" t="s">
        <v>14</v>
      </c>
      <c r="B7" s="22" t="s">
        <v>15</v>
      </c>
      <c r="C7" s="22" t="s">
        <v>16</v>
      </c>
      <c r="D7" s="22" t="s">
        <v>18</v>
      </c>
      <c r="E7" s="23">
        <v>63.6363636363636</v>
      </c>
      <c r="F7" s="23">
        <v>8.93369602561819</v>
      </c>
      <c r="G7" s="7">
        <v>0</v>
      </c>
      <c r="H7" s="7">
        <v>100</v>
      </c>
      <c r="I7" s="8">
        <f t="shared" si="0"/>
        <v>0</v>
      </c>
      <c r="J7" s="7">
        <v>5</v>
      </c>
      <c r="K7" s="24">
        <f t="shared" si="1"/>
        <v>0.833333333333333</v>
      </c>
      <c r="L7" s="25">
        <v>0.0324462</v>
      </c>
    </row>
    <row r="8" spans="1:12">
      <c r="A8" s="22" t="s">
        <v>14</v>
      </c>
      <c r="B8" s="22" t="s">
        <v>15</v>
      </c>
      <c r="C8" s="22" t="s">
        <v>16</v>
      </c>
      <c r="D8" s="22" t="s">
        <v>19</v>
      </c>
      <c r="E8" s="23">
        <v>66.0979388573224</v>
      </c>
      <c r="F8" s="23">
        <v>4.14749851785488</v>
      </c>
      <c r="G8" s="7">
        <v>0</v>
      </c>
      <c r="H8" s="7">
        <v>100</v>
      </c>
      <c r="I8" s="8">
        <f t="shared" si="0"/>
        <v>0</v>
      </c>
      <c r="J8" s="7">
        <v>5</v>
      </c>
      <c r="K8" s="24">
        <f t="shared" si="1"/>
        <v>0.833333333333333</v>
      </c>
      <c r="L8" s="25">
        <v>0.0324462</v>
      </c>
    </row>
    <row r="9" spans="1:12">
      <c r="A9" s="22" t="s">
        <v>14</v>
      </c>
      <c r="B9" s="22" t="s">
        <v>15</v>
      </c>
      <c r="C9" s="22" t="s">
        <v>16</v>
      </c>
      <c r="D9" s="22" t="s">
        <v>20</v>
      </c>
      <c r="E9" s="23">
        <v>64.0320526169597</v>
      </c>
      <c r="F9" s="23">
        <v>3.96</v>
      </c>
      <c r="G9" s="7">
        <v>0</v>
      </c>
      <c r="H9" s="7">
        <v>99</v>
      </c>
      <c r="I9" s="8">
        <f t="shared" si="0"/>
        <v>0</v>
      </c>
      <c r="J9" s="7">
        <v>5</v>
      </c>
      <c r="K9" s="24">
        <f t="shared" si="1"/>
        <v>0.833333333333333</v>
      </c>
      <c r="L9" s="25">
        <v>0.0324462</v>
      </c>
    </row>
    <row r="10" spans="1:12">
      <c r="A10" s="22" t="s">
        <v>14</v>
      </c>
      <c r="B10" s="22" t="s">
        <v>15</v>
      </c>
      <c r="C10" s="22" t="s">
        <v>21</v>
      </c>
      <c r="D10" s="22" t="s">
        <v>17</v>
      </c>
      <c r="E10" s="23">
        <v>77.3977272727272</v>
      </c>
      <c r="F10" s="23">
        <v>5.50157217787917</v>
      </c>
      <c r="G10" s="7">
        <v>6</v>
      </c>
      <c r="H10" s="7">
        <v>98</v>
      </c>
      <c r="I10" s="8">
        <f t="shared" si="0"/>
        <v>0.0612244897959184</v>
      </c>
      <c r="J10" s="7">
        <v>6</v>
      </c>
      <c r="K10" s="24">
        <f t="shared" si="1"/>
        <v>1</v>
      </c>
      <c r="L10" s="25">
        <v>0.08565336</v>
      </c>
    </row>
    <row r="11" spans="1:12">
      <c r="A11" s="22" t="s">
        <v>14</v>
      </c>
      <c r="B11" s="22" t="s">
        <v>15</v>
      </c>
      <c r="C11" s="22" t="s">
        <v>21</v>
      </c>
      <c r="D11" s="22" t="s">
        <v>18</v>
      </c>
      <c r="E11" s="23">
        <v>69.8994252873563</v>
      </c>
      <c r="F11" s="23">
        <v>0.615998113944382</v>
      </c>
      <c r="G11" s="7">
        <v>9</v>
      </c>
      <c r="H11" s="7">
        <v>100</v>
      </c>
      <c r="I11" s="8">
        <f t="shared" si="0"/>
        <v>0.09</v>
      </c>
      <c r="J11" s="7">
        <v>6</v>
      </c>
      <c r="K11" s="24">
        <f t="shared" si="1"/>
        <v>1</v>
      </c>
      <c r="L11" s="25">
        <v>0.08565336</v>
      </c>
    </row>
    <row r="12" spans="1:12">
      <c r="A12" s="22" t="s">
        <v>14</v>
      </c>
      <c r="B12" s="22" t="s">
        <v>15</v>
      </c>
      <c r="C12" s="22" t="s">
        <v>21</v>
      </c>
      <c r="D12" s="22" t="s">
        <v>19</v>
      </c>
      <c r="E12" s="23">
        <v>64.9318181818181</v>
      </c>
      <c r="F12" s="23">
        <v>3.98105250141632</v>
      </c>
      <c r="G12" s="7">
        <v>11</v>
      </c>
      <c r="H12" s="7">
        <v>100</v>
      </c>
      <c r="I12" s="8">
        <f t="shared" si="0"/>
        <v>0.11</v>
      </c>
      <c r="J12" s="7">
        <v>6</v>
      </c>
      <c r="K12" s="24">
        <f t="shared" si="1"/>
        <v>1</v>
      </c>
      <c r="L12" s="25">
        <v>0.08565336</v>
      </c>
    </row>
    <row r="13" spans="1:12">
      <c r="A13" s="22" t="s">
        <v>14</v>
      </c>
      <c r="B13" s="22" t="s">
        <v>15</v>
      </c>
      <c r="C13" s="22" t="s">
        <v>21</v>
      </c>
      <c r="D13" s="22" t="s">
        <v>20</v>
      </c>
      <c r="E13" s="23">
        <v>61.8711240310077</v>
      </c>
      <c r="F13" s="23">
        <v>2.87342553003723</v>
      </c>
      <c r="G13" s="7">
        <v>7</v>
      </c>
      <c r="H13" s="7">
        <v>99</v>
      </c>
      <c r="I13" s="8">
        <f t="shared" si="0"/>
        <v>0.0707070707070707</v>
      </c>
      <c r="J13" s="7">
        <v>6</v>
      </c>
      <c r="K13" s="24">
        <f t="shared" si="1"/>
        <v>1</v>
      </c>
      <c r="L13" s="25">
        <v>0.08565336</v>
      </c>
    </row>
    <row r="14" spans="1:12">
      <c r="A14" s="22" t="s">
        <v>22</v>
      </c>
      <c r="B14" s="22" t="s">
        <v>23</v>
      </c>
      <c r="C14" s="22" t="s">
        <v>16</v>
      </c>
      <c r="D14" s="22" t="s">
        <v>17</v>
      </c>
      <c r="E14" s="23">
        <v>78.8014312196896</v>
      </c>
      <c r="F14" s="23">
        <v>0.427864193664315</v>
      </c>
      <c r="G14" s="7">
        <v>0</v>
      </c>
      <c r="H14" s="7">
        <v>1527</v>
      </c>
      <c r="I14" s="8">
        <f t="shared" si="0"/>
        <v>0</v>
      </c>
      <c r="J14" s="7">
        <v>5</v>
      </c>
      <c r="K14" s="24">
        <f t="shared" si="1"/>
        <v>0.833333333333333</v>
      </c>
      <c r="L14" s="25">
        <v>0.027001557407811</v>
      </c>
    </row>
    <row r="15" spans="1:12">
      <c r="A15" s="22" t="s">
        <v>22</v>
      </c>
      <c r="B15" s="22" t="s">
        <v>23</v>
      </c>
      <c r="C15" s="22" t="s">
        <v>16</v>
      </c>
      <c r="D15" s="22" t="s">
        <v>18</v>
      </c>
      <c r="E15" s="23">
        <v>77.1792967837412</v>
      </c>
      <c r="F15" s="23">
        <v>0.141701157586734</v>
      </c>
      <c r="G15" s="7">
        <v>0</v>
      </c>
      <c r="H15" s="7">
        <v>1527</v>
      </c>
      <c r="I15" s="8">
        <f t="shared" si="0"/>
        <v>0</v>
      </c>
      <c r="J15" s="7">
        <v>5</v>
      </c>
      <c r="K15" s="24">
        <f t="shared" si="1"/>
        <v>0.833333333333333</v>
      </c>
      <c r="L15" s="25">
        <v>0.027001557407811</v>
      </c>
    </row>
    <row r="16" spans="1:12">
      <c r="A16" s="22" t="s">
        <v>22</v>
      </c>
      <c r="B16" s="22" t="s">
        <v>23</v>
      </c>
      <c r="C16" s="22" t="s">
        <v>16</v>
      </c>
      <c r="D16" s="22" t="s">
        <v>19</v>
      </c>
      <c r="E16" s="23">
        <v>73.684713025015</v>
      </c>
      <c r="F16" s="23">
        <v>0.997203511242068</v>
      </c>
      <c r="G16" s="7">
        <v>0</v>
      </c>
      <c r="H16" s="7">
        <v>1527</v>
      </c>
      <c r="I16" s="8">
        <f t="shared" si="0"/>
        <v>0</v>
      </c>
      <c r="J16" s="7">
        <v>5</v>
      </c>
      <c r="K16" s="24">
        <f t="shared" si="1"/>
        <v>0.833333333333333</v>
      </c>
      <c r="L16" s="25">
        <v>0.027001557407811</v>
      </c>
    </row>
    <row r="17" spans="1:12">
      <c r="A17" s="22" t="s">
        <v>22</v>
      </c>
      <c r="B17" s="22" t="s">
        <v>23</v>
      </c>
      <c r="C17" s="22" t="s">
        <v>16</v>
      </c>
      <c r="D17" s="22" t="s">
        <v>20</v>
      </c>
      <c r="E17" s="23">
        <v>73.6238093253747</v>
      </c>
      <c r="F17" s="23">
        <v>1.09237475848204</v>
      </c>
      <c r="G17" s="7">
        <v>0</v>
      </c>
      <c r="H17" s="7">
        <v>1527</v>
      </c>
      <c r="I17" s="8">
        <f t="shared" si="0"/>
        <v>0</v>
      </c>
      <c r="J17" s="7">
        <v>5</v>
      </c>
      <c r="K17" s="24">
        <f t="shared" si="1"/>
        <v>0.833333333333333</v>
      </c>
      <c r="L17" s="25">
        <v>0.027001557407811</v>
      </c>
    </row>
    <row r="18" spans="1:12">
      <c r="A18" s="22" t="s">
        <v>22</v>
      </c>
      <c r="B18" s="22" t="s">
        <v>23</v>
      </c>
      <c r="C18" s="22" t="s">
        <v>21</v>
      </c>
      <c r="D18" s="22" t="s">
        <v>17</v>
      </c>
      <c r="E18" s="23">
        <v>73.3845974956234</v>
      </c>
      <c r="F18" s="23">
        <v>0.25784199902367</v>
      </c>
      <c r="G18" s="7">
        <v>254</v>
      </c>
      <c r="H18" s="7">
        <v>1527</v>
      </c>
      <c r="I18" s="8">
        <f t="shared" si="0"/>
        <v>0.16633922724296</v>
      </c>
      <c r="J18" s="7">
        <v>6</v>
      </c>
      <c r="K18" s="24">
        <f t="shared" si="1"/>
        <v>1</v>
      </c>
      <c r="L18" s="25">
        <v>0.0500066336273656</v>
      </c>
    </row>
    <row r="19" spans="1:12">
      <c r="A19" s="22" t="s">
        <v>22</v>
      </c>
      <c r="B19" s="22" t="s">
        <v>23</v>
      </c>
      <c r="C19" s="22" t="s">
        <v>21</v>
      </c>
      <c r="D19" s="22" t="s">
        <v>18</v>
      </c>
      <c r="E19" s="23">
        <v>71.1076801498514</v>
      </c>
      <c r="F19" s="23">
        <v>0.208408786387012</v>
      </c>
      <c r="G19" s="7">
        <v>270</v>
      </c>
      <c r="H19" s="7">
        <v>1527</v>
      </c>
      <c r="I19" s="8">
        <f t="shared" si="0"/>
        <v>0.176817288801572</v>
      </c>
      <c r="J19" s="7">
        <v>6</v>
      </c>
      <c r="K19" s="24">
        <f t="shared" si="1"/>
        <v>1</v>
      </c>
      <c r="L19" s="25">
        <v>0.0500066336273656</v>
      </c>
    </row>
    <row r="20" spans="1:12">
      <c r="A20" s="22" t="s">
        <v>22</v>
      </c>
      <c r="B20" s="22" t="s">
        <v>23</v>
      </c>
      <c r="C20" s="22" t="s">
        <v>21</v>
      </c>
      <c r="D20" s="22" t="s">
        <v>19</v>
      </c>
      <c r="E20" s="23">
        <v>65.0305666719021</v>
      </c>
      <c r="F20" s="23">
        <v>0.939298740005909</v>
      </c>
      <c r="G20" s="7">
        <v>416</v>
      </c>
      <c r="H20" s="7">
        <v>1527</v>
      </c>
      <c r="I20" s="8">
        <f t="shared" si="0"/>
        <v>0.272429600523903</v>
      </c>
      <c r="J20" s="7">
        <v>6</v>
      </c>
      <c r="K20" s="24">
        <f t="shared" si="1"/>
        <v>1</v>
      </c>
      <c r="L20" s="25">
        <v>0.0500066336273656</v>
      </c>
    </row>
    <row r="21" ht="14.75" spans="1:12">
      <c r="A21" s="26" t="s">
        <v>22</v>
      </c>
      <c r="B21" s="26" t="s">
        <v>23</v>
      </c>
      <c r="C21" s="26" t="s">
        <v>21</v>
      </c>
      <c r="D21" s="26" t="s">
        <v>20</v>
      </c>
      <c r="E21" s="27">
        <v>66.1515904794377</v>
      </c>
      <c r="F21" s="27">
        <v>0.958397010038723</v>
      </c>
      <c r="G21" s="28">
        <v>283</v>
      </c>
      <c r="H21" s="28">
        <v>1527</v>
      </c>
      <c r="I21" s="29">
        <f t="shared" si="0"/>
        <v>0.185330713817944</v>
      </c>
      <c r="J21" s="28">
        <v>6</v>
      </c>
      <c r="K21" s="30">
        <f t="shared" si="1"/>
        <v>1</v>
      </c>
      <c r="L21" s="31">
        <v>0.0500066336273656</v>
      </c>
    </row>
    <row r="28" spans="1:12">
      <c r="K28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C1" sqref="C$1:C$1048576"/>
    </sheetView>
  </sheetViews>
  <sheetFormatPr defaultColWidth="9" defaultRowHeight="14"/>
  <cols>
    <col min="1" max="1" width="16.4166666666667" customWidth="1"/>
    <col min="2" max="2" width="34" hidden="1" customWidth="1"/>
    <col min="3" max="3" width="42" customWidth="1"/>
    <col min="4" max="4" width="15" customWidth="1"/>
    <col min="5" max="5" width="17" customWidth="1"/>
    <col min="6" max="6" width="15" customWidth="1"/>
    <col min="7" max="9" width="20" customWidth="1"/>
    <col min="10" max="10" width="18" customWidth="1"/>
  </cols>
  <sheetData>
    <row r="1" ht="23" customHeight="1"/>
    <row r="2" ht="23" customHeight="1" spans="1:10">
      <c r="A2" s="1" t="s">
        <v>25</v>
      </c>
    </row>
    <row r="3" ht="23" customHeight="1" spans="1:10">
      <c r="A3" s="5" t="s">
        <v>26</v>
      </c>
      <c r="B3" s="5"/>
      <c r="C3" s="5"/>
      <c r="D3" s="5"/>
      <c r="E3" s="5"/>
      <c r="F3" s="5"/>
      <c r="G3" s="5"/>
      <c r="H3" s="5"/>
      <c r="I3" s="5"/>
      <c r="J3" s="5"/>
    </row>
    <row r="4" ht="23" customHeight="1"/>
    <row r="5" spans="1:10">
      <c r="A5" s="2" t="s">
        <v>2</v>
      </c>
      <c r="B5" s="2" t="s">
        <v>3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</row>
    <row r="6" spans="1:10">
      <c r="A6" s="6" t="s">
        <v>14</v>
      </c>
      <c r="B6" s="6" t="s">
        <v>15</v>
      </c>
      <c r="C6" s="6" t="s">
        <v>35</v>
      </c>
      <c r="D6" s="7">
        <v>2</v>
      </c>
      <c r="E6" s="8">
        <f>D6/D9</f>
        <v>0.0833333333333333</v>
      </c>
      <c r="F6" s="7">
        <v>2</v>
      </c>
      <c r="G6" s="8">
        <f>F6/39</f>
        <v>0.0512820512820513</v>
      </c>
      <c r="H6" s="7">
        <v>236</v>
      </c>
      <c r="I6" s="7">
        <v>23525</v>
      </c>
      <c r="J6" s="8">
        <f t="shared" ref="J6:J13" si="0">H6/I6</f>
        <v>0.0100318809776833</v>
      </c>
    </row>
    <row r="7" spans="1:10">
      <c r="A7" s="6" t="s">
        <v>14</v>
      </c>
      <c r="B7" s="6" t="s">
        <v>15</v>
      </c>
      <c r="C7" s="6" t="s">
        <v>36</v>
      </c>
      <c r="D7" s="7">
        <v>16</v>
      </c>
      <c r="E7" s="8">
        <f>D7/D9</f>
        <v>0.666666666666667</v>
      </c>
      <c r="F7" s="7">
        <v>5</v>
      </c>
      <c r="G7" s="8">
        <f>F7/39</f>
        <v>0.128205128205128</v>
      </c>
      <c r="H7" s="7">
        <v>1144</v>
      </c>
      <c r="I7" s="7">
        <v>23525</v>
      </c>
      <c r="J7" s="8">
        <f t="shared" si="0"/>
        <v>0.0486291179596174</v>
      </c>
    </row>
    <row r="8" spans="1:10">
      <c r="A8" s="6" t="s">
        <v>14</v>
      </c>
      <c r="B8" s="6" t="s">
        <v>15</v>
      </c>
      <c r="C8" s="6" t="s">
        <v>37</v>
      </c>
      <c r="D8" s="7">
        <v>6</v>
      </c>
      <c r="E8" s="8">
        <f>D8/D9</f>
        <v>0.25</v>
      </c>
      <c r="F8" s="7">
        <v>3</v>
      </c>
      <c r="G8" s="8">
        <f>F8/39</f>
        <v>0.0769230769230769</v>
      </c>
      <c r="H8" s="7">
        <v>596</v>
      </c>
      <c r="I8" s="7">
        <v>23525</v>
      </c>
      <c r="J8" s="8">
        <f t="shared" si="0"/>
        <v>0.0253347502656748</v>
      </c>
    </row>
    <row r="9" spans="1:10">
      <c r="A9" s="3" t="s">
        <v>14</v>
      </c>
      <c r="B9" s="3" t="s">
        <v>15</v>
      </c>
      <c r="C9" s="3" t="s">
        <v>38</v>
      </c>
      <c r="D9" s="9">
        <f>SUM(D6:D8)</f>
        <v>24</v>
      </c>
      <c r="E9" s="10">
        <f>D9/D9</f>
        <v>1</v>
      </c>
      <c r="F9" s="9">
        <v>7</v>
      </c>
      <c r="G9" s="8">
        <f>F9/39</f>
        <v>0.179487179487179</v>
      </c>
      <c r="H9" s="9">
        <f>SUM(H6:H8)</f>
        <v>1976</v>
      </c>
      <c r="I9" s="9">
        <v>23525</v>
      </c>
      <c r="J9" s="10">
        <f t="shared" si="0"/>
        <v>0.0839957492029756</v>
      </c>
    </row>
    <row r="10" spans="1:10">
      <c r="A10" s="6" t="s">
        <v>22</v>
      </c>
      <c r="B10" s="6" t="s">
        <v>23</v>
      </c>
      <c r="C10" s="6" t="s">
        <v>35</v>
      </c>
      <c r="D10" s="7">
        <v>234</v>
      </c>
      <c r="E10" s="8">
        <f>D10/1527</f>
        <v>0.153241650294695</v>
      </c>
      <c r="F10" s="7">
        <v>64</v>
      </c>
      <c r="G10" s="8">
        <f>F10/509</f>
        <v>0.12573673870334</v>
      </c>
      <c r="H10" s="7">
        <v>856</v>
      </c>
      <c r="I10" s="7">
        <v>98620</v>
      </c>
      <c r="J10" s="8">
        <f t="shared" si="0"/>
        <v>0.00867978097748935</v>
      </c>
    </row>
    <row r="11" spans="1:10">
      <c r="A11" s="6" t="s">
        <v>22</v>
      </c>
      <c r="B11" s="6" t="s">
        <v>23</v>
      </c>
      <c r="C11" s="6" t="s">
        <v>36</v>
      </c>
      <c r="D11" s="7">
        <v>285</v>
      </c>
      <c r="E11" s="8">
        <f>D11/D13</f>
        <v>0.233033524121014</v>
      </c>
      <c r="F11" s="7">
        <v>125</v>
      </c>
      <c r="G11" s="8">
        <f>F11/509</f>
        <v>0.245579567779961</v>
      </c>
      <c r="H11" s="7">
        <v>4464</v>
      </c>
      <c r="I11" s="7">
        <v>98620</v>
      </c>
      <c r="J11" s="8">
        <f t="shared" si="0"/>
        <v>0.045264652200365</v>
      </c>
    </row>
    <row r="12" spans="1:10">
      <c r="A12" s="6" t="s">
        <v>22</v>
      </c>
      <c r="B12" s="6" t="s">
        <v>23</v>
      </c>
      <c r="C12" s="6" t="s">
        <v>37</v>
      </c>
      <c r="D12" s="7">
        <v>704</v>
      </c>
      <c r="E12" s="8">
        <f>D12/D13</f>
        <v>0.575633687653312</v>
      </c>
      <c r="F12" s="7">
        <v>97</v>
      </c>
      <c r="G12" s="8">
        <f>F12/509</f>
        <v>0.19056974459725</v>
      </c>
      <c r="H12" s="7">
        <v>12171</v>
      </c>
      <c r="I12" s="7">
        <v>98620</v>
      </c>
      <c r="J12" s="8">
        <f t="shared" si="0"/>
        <v>0.123413100790915</v>
      </c>
    </row>
    <row r="13" ht="14.75" spans="1:10">
      <c r="A13" s="11" t="s">
        <v>22</v>
      </c>
      <c r="B13" s="11" t="s">
        <v>23</v>
      </c>
      <c r="C13" s="11" t="s">
        <v>38</v>
      </c>
      <c r="D13" s="12">
        <f>SUM(D10:D12)</f>
        <v>1223</v>
      </c>
      <c r="E13" s="13">
        <f>D13/D13</f>
        <v>1</v>
      </c>
      <c r="F13" s="12">
        <v>270</v>
      </c>
      <c r="G13" s="13">
        <f>F13/509</f>
        <v>0.530451866404715</v>
      </c>
      <c r="H13" s="12">
        <v>17491</v>
      </c>
      <c r="I13" s="12">
        <v>98620</v>
      </c>
      <c r="J13" s="13">
        <f t="shared" si="0"/>
        <v>0.177357533968769</v>
      </c>
    </row>
    <row r="15" ht="15.5" spans="1:10">
      <c r="A15" s="14" t="s">
        <v>39</v>
      </c>
    </row>
    <row r="16" ht="30" customHeight="1" spans="1:10">
      <c r="A16" s="15" t="s">
        <v>5</v>
      </c>
      <c r="B16" s="15" t="s">
        <v>32</v>
      </c>
      <c r="C16" s="15" t="s">
        <v>33</v>
      </c>
      <c r="D16" s="15" t="s">
        <v>34</v>
      </c>
    </row>
    <row r="17" ht="20" customHeight="1" spans="1:4">
      <c r="A17" s="16" t="s">
        <v>17</v>
      </c>
      <c r="B17" s="17">
        <v>2929</v>
      </c>
      <c r="C17" s="17">
        <v>25595</v>
      </c>
      <c r="D17" s="18">
        <f>B17/C17</f>
        <v>0.114436413361985</v>
      </c>
    </row>
    <row r="18" ht="20" customHeight="1" spans="1:4">
      <c r="A18" s="16" t="s">
        <v>18</v>
      </c>
      <c r="B18" s="17">
        <v>3854</v>
      </c>
      <c r="C18" s="17">
        <v>23994</v>
      </c>
      <c r="D18" s="18">
        <f>B18/C18</f>
        <v>0.160623489205635</v>
      </c>
    </row>
    <row r="19" ht="20" customHeight="1" spans="1:4">
      <c r="A19" s="16" t="s">
        <v>19</v>
      </c>
      <c r="B19" s="17">
        <v>5269</v>
      </c>
      <c r="C19" s="17">
        <v>24460</v>
      </c>
      <c r="D19" s="18">
        <f>B19/C19</f>
        <v>0.215412919051513</v>
      </c>
    </row>
    <row r="20" ht="20" customHeight="1" spans="1:4">
      <c r="A20" s="16" t="s">
        <v>20</v>
      </c>
      <c r="B20" s="17">
        <v>5439</v>
      </c>
      <c r="C20" s="17">
        <v>24571</v>
      </c>
      <c r="D20" s="18">
        <f t="shared" ref="D20:D29" si="1">B20/C20</f>
        <v>0.221358512067071</v>
      </c>
    </row>
    <row r="21" ht="20" customHeight="1" spans="1:4">
      <c r="A21" s="19" t="s">
        <v>40</v>
      </c>
      <c r="B21" s="20">
        <f>SUM(B17:B20)</f>
        <v>17491</v>
      </c>
      <c r="C21" s="20">
        <f>SUM(C17:C20)</f>
        <v>98620</v>
      </c>
      <c r="D21" s="21">
        <f t="shared" si="1"/>
        <v>0.177357533968769</v>
      </c>
    </row>
    <row r="23" ht="15.5" spans="1:4">
      <c r="A23" s="14" t="s">
        <v>41</v>
      </c>
    </row>
    <row r="24" ht="30" customHeight="1" spans="1:4">
      <c r="A24" s="15" t="s">
        <v>5</v>
      </c>
      <c r="B24" s="15" t="s">
        <v>32</v>
      </c>
      <c r="C24" s="15" t="s">
        <v>33</v>
      </c>
      <c r="D24" s="15" t="s">
        <v>34</v>
      </c>
    </row>
    <row r="25" ht="20" customHeight="1" spans="1:4">
      <c r="A25" s="16" t="s">
        <v>17</v>
      </c>
      <c r="B25" s="17">
        <v>669</v>
      </c>
      <c r="C25" s="17">
        <v>5489</v>
      </c>
      <c r="D25" s="18">
        <f t="shared" si="1"/>
        <v>0.121880123884132</v>
      </c>
    </row>
    <row r="26" ht="20" customHeight="1" spans="1:4">
      <c r="A26" s="16" t="s">
        <v>18</v>
      </c>
      <c r="B26" s="17">
        <v>834</v>
      </c>
      <c r="C26" s="17">
        <v>7734</v>
      </c>
      <c r="D26" s="18">
        <f t="shared" si="1"/>
        <v>0.107835531419705</v>
      </c>
    </row>
    <row r="27" ht="20" customHeight="1" spans="1:4">
      <c r="A27" s="16" t="s">
        <v>19</v>
      </c>
      <c r="B27" s="17">
        <v>355</v>
      </c>
      <c r="C27" s="17">
        <v>5344</v>
      </c>
      <c r="D27" s="18">
        <f t="shared" si="1"/>
        <v>0.0664296407185629</v>
      </c>
    </row>
    <row r="28" ht="20" customHeight="1" spans="1:4">
      <c r="A28" s="16" t="s">
        <v>20</v>
      </c>
      <c r="B28" s="17">
        <v>118</v>
      </c>
      <c r="C28" s="17">
        <v>4958</v>
      </c>
      <c r="D28" s="18">
        <f t="shared" si="1"/>
        <v>0.0237999193223074</v>
      </c>
    </row>
    <row r="29" ht="20" customHeight="1" spans="1:4">
      <c r="A29" s="19" t="s">
        <v>40</v>
      </c>
      <c r="B29" s="20">
        <f>SUM(B25:B28)</f>
        <v>1976</v>
      </c>
      <c r="C29" s="20">
        <f>SUM(C25:C28)</f>
        <v>23525</v>
      </c>
      <c r="D29" s="21">
        <f t="shared" si="1"/>
        <v>0.0839957492029756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showGridLines="0" workbookViewId="0">
      <selection activeCell="A1" sqref="A1"/>
    </sheetView>
  </sheetViews>
  <sheetFormatPr defaultColWidth="9" defaultRowHeight="14" outlineLevelCol="1"/>
  <cols>
    <col min="1" max="1" width="28" customWidth="1"/>
    <col min="2" max="2" width="120" customWidth="1"/>
  </cols>
  <sheetData>
    <row r="1" ht="22" customHeight="1"/>
    <row r="2" ht="22" customHeight="1" spans="1:2">
      <c r="A2" s="1" t="s">
        <v>42</v>
      </c>
    </row>
    <row r="3" ht="22" customHeight="1"/>
    <row r="4" ht="19.5" customHeight="1" spans="1:2">
      <c r="A4" s="2" t="s">
        <v>43</v>
      </c>
      <c r="B4" s="2" t="s">
        <v>44</v>
      </c>
    </row>
    <row r="5" ht="22.5" customHeight="1" spans="1:2">
      <c r="A5" s="3" t="s">
        <v>45</v>
      </c>
      <c r="B5" s="4" t="s">
        <v>46</v>
      </c>
    </row>
    <row r="6" ht="22.5" customHeight="1" spans="1:2">
      <c r="A6" s="3" t="s">
        <v>45</v>
      </c>
      <c r="B6" s="4" t="s">
        <v>47</v>
      </c>
    </row>
    <row r="7" ht="22.5" customHeight="1" spans="1:2">
      <c r="A7" s="3" t="s">
        <v>48</v>
      </c>
      <c r="B7" s="4" t="s">
        <v>49</v>
      </c>
    </row>
    <row r="8" ht="22.5" customHeight="1" spans="1:2">
      <c r="A8" s="3" t="s">
        <v>6</v>
      </c>
      <c r="B8" s="4" t="s">
        <v>50</v>
      </c>
    </row>
    <row r="9" ht="22.5" customHeight="1" spans="1:2">
      <c r="A9" s="3" t="s">
        <v>7</v>
      </c>
      <c r="B9" s="4" t="s">
        <v>51</v>
      </c>
    </row>
    <row r="10" ht="22.5" customHeight="1" spans="1:2">
      <c r="A10" s="3" t="s">
        <v>10</v>
      </c>
      <c r="B10" s="4" t="s">
        <v>52</v>
      </c>
    </row>
    <row r="11" ht="22.5" customHeight="1" spans="1:2">
      <c r="A11" s="3" t="s">
        <v>11</v>
      </c>
      <c r="B11" s="4" t="s">
        <v>53</v>
      </c>
    </row>
    <row r="12" ht="22.5" customHeight="1" spans="1:2">
      <c r="A12" s="3" t="s">
        <v>54</v>
      </c>
      <c r="B12" s="4" t="s">
        <v>55</v>
      </c>
    </row>
    <row r="13" ht="22.5" customHeight="1" spans="1:2">
      <c r="A13" s="3" t="s">
        <v>56</v>
      </c>
      <c r="B13" s="4" t="s">
        <v>57</v>
      </c>
    </row>
    <row r="14" ht="22.5" customHeight="1" spans="1:2">
      <c r="A14" s="3" t="s">
        <v>58</v>
      </c>
      <c r="B14" s="4" t="s">
        <v>59</v>
      </c>
    </row>
    <row r="15" ht="22.5" customHeight="1" spans="1:2">
      <c r="A15" s="3" t="s">
        <v>60</v>
      </c>
      <c r="B15" s="4" t="s">
        <v>61</v>
      </c>
    </row>
    <row r="16" ht="22.5" customHeight="1" spans="1:2">
      <c r="A16" s="3" t="s">
        <v>29</v>
      </c>
      <c r="B16" s="4" t="s">
        <v>62</v>
      </c>
    </row>
    <row r="17" ht="22.5" customHeight="1" spans="1:2">
      <c r="A17" s="3" t="s">
        <v>30</v>
      </c>
      <c r="B17" s="4" t="s">
        <v>63</v>
      </c>
    </row>
    <row r="18" ht="22.5" customHeight="1" spans="1:2">
      <c r="A18" s="3" t="s">
        <v>64</v>
      </c>
      <c r="B18" s="4" t="s">
        <v>65</v>
      </c>
    </row>
    <row r="19" ht="22.5" customHeight="1" spans="1:2">
      <c r="A19" s="3" t="s">
        <v>66</v>
      </c>
      <c r="B19" s="4" t="s">
        <v>67</v>
      </c>
    </row>
    <row r="20" ht="22.5" customHeight="1" spans="1:2">
      <c r="A20" s="3" t="s">
        <v>15</v>
      </c>
      <c r="B20" s="4" t="s">
        <v>68</v>
      </c>
    </row>
    <row r="21" spans="1:2">
      <c r="A21" s="3" t="s">
        <v>69</v>
      </c>
      <c r="B21" s="4" t="s">
        <v>70</v>
      </c>
    </row>
    <row r="22" ht="25" spans="1:2">
      <c r="A22" s="3" t="s">
        <v>71</v>
      </c>
      <c r="B22" s="4" t="s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 Results</vt:lpstr>
      <vt:lpstr>Early Stop</vt:lpstr>
      <vt:lpstr>Method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某石</cp:lastModifiedBy>
  <dcterms:created xsi:type="dcterms:W3CDTF">2026-09-24T09:27:12Z</dcterms:created>
  <dcterms:modified xsi:type="dcterms:W3CDTF">2026-09-24T09:31:54Z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562D8CF8F2E14834973887DC570BA1D5_12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